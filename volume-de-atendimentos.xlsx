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Terapias" sheetId="2" state="visible" r:id="rId4"/>
    <sheet name="Outros atendimentos" sheetId="3" state="visible" r:id="rId5"/>
    <sheet name="Tot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<sst xmlns="http://schemas.openxmlformats.org/spreadsheetml/2006/main" count="98" uniqueCount="84">
  <si>
    <t xml:space="preserve">Instituto Affectus: volume de atendimentos · premissas</t>
  </si>
  <si>
    <t xml:space="preserve">Células em azul são entradas e podem ser alteradas; todas as outras abas recalculam. Fonte: apresentação "Instituto Affectus: volume de atendimentos" (23/10/2026).</t>
  </si>
  <si>
    <t xml:space="preserve">Premissa</t>
  </si>
  <si>
    <t xml:space="preserve">Valor</t>
  </si>
  <si>
    <t xml:space="preserve">Observação</t>
  </si>
  <si>
    <t xml:space="preserve">Crianças com o pacote completo</t>
  </si>
  <si>
    <t xml:space="preserve">Cenário da apresentação</t>
  </si>
  <si>
    <t xml:space="preserve">Sessões de 30 min por visita</t>
  </si>
  <si>
    <t xml:space="preserve">Visita de 2 h, 4 sessões</t>
  </si>
  <si>
    <t xml:space="preserve">Minutos por sessão</t>
  </si>
  <si>
    <t xml:space="preserve">Dias de atendimento por ano</t>
  </si>
  <si>
    <t xml:space="preserve">Jul/2026 a jun/2027, sem atendimento no São João (24/06/2027)</t>
  </si>
  <si>
    <t xml:space="preserve">Dias de atendimento por semana</t>
  </si>
  <si>
    <t xml:space="preserve">Meses por ano</t>
  </si>
  <si>
    <t xml:space="preserve">Mês = média (ano ÷ 12)</t>
  </si>
  <si>
    <t xml:space="preserve">Médicos (neuropediatra, psiquiatra infantil, pediatra)</t>
  </si>
  <si>
    <t xml:space="preserve">Consultas por dia médico</t>
  </si>
  <si>
    <t xml:space="preserve">Dias de consulta por médico por mês</t>
  </si>
  <si>
    <t xml:space="preserve">Consultas de odontologia por criança por ano</t>
  </si>
  <si>
    <t xml:space="preserve">Estimativa</t>
  </si>
  <si>
    <t xml:space="preserve">Dentistas</t>
  </si>
  <si>
    <t xml:space="preserve">1 dia por semana cada</t>
  </si>
  <si>
    <t xml:space="preserve">Consultas por dia de dentista</t>
  </si>
  <si>
    <t xml:space="preserve">Capacidade (consultas de 40 min)</t>
  </si>
  <si>
    <t xml:space="preserve">Fração das visitas: xadrez</t>
  </si>
  <si>
    <t xml:space="preserve">Xadrez e capoeira alternam a cada visita</t>
  </si>
  <si>
    <t xml:space="preserve">Fração das visitas: capoeira</t>
  </si>
  <si>
    <t xml:space="preserve">Fração das visitas: psicóloga dos pais, individual</t>
  </si>
  <si>
    <t xml:space="preserve">1 sessão de 30 min a cada 2 visitas, metade individual</t>
  </si>
  <si>
    <t xml:space="preserve">Fração das visitas: psicóloga dos pais, em grupo</t>
  </si>
  <si>
    <t xml:space="preserve">Metade em grupos de 8</t>
  </si>
  <si>
    <t xml:space="preserve">Fração das visitas: oficinas</t>
  </si>
  <si>
    <t xml:space="preserve">Estimativa; funcionamento ainda em aberto</t>
  </si>
  <si>
    <t xml:space="preserve">Visitas de 2 h por dia</t>
  </si>
  <si>
    <t xml:space="preserve">Semanas de atendimento por ano</t>
  </si>
  <si>
    <t xml:space="preserve">Terapias seriadas</t>
  </si>
  <si>
    <t xml:space="preserve">Item</t>
  </si>
  <si>
    <t xml:space="preserve">Por dia</t>
  </si>
  <si>
    <t xml:space="preserve">Por semana</t>
  </si>
  <si>
    <t xml:space="preserve">Por mês</t>
  </si>
  <si>
    <t xml:space="preserve">Por ano</t>
  </si>
  <si>
    <t xml:space="preserve">Visitas de 2 h</t>
  </si>
  <si>
    <t xml:space="preserve">Sessões de 30 min</t>
  </si>
  <si>
    <t xml:space="preserve">Horas de terapia</t>
  </si>
  <si>
    <t xml:space="preserve">Sessões por especialidade, por dia</t>
  </si>
  <si>
    <t xml:space="preserve">Especialidade</t>
  </si>
  <si>
    <t xml:space="preserve">Sessões por dia</t>
  </si>
  <si>
    <t xml:space="preserve">Vagas por dia</t>
  </si>
  <si>
    <t xml:space="preserve">% das vagas</t>
  </si>
  <si>
    <t xml:space="preserve">Sessões por ano</t>
  </si>
  <si>
    <t xml:space="preserve">Psicologia</t>
  </si>
  <si>
    <t xml:space="preserve">Terapia Ocupacional</t>
  </si>
  <si>
    <t xml:space="preserve">Fonoaudiologia</t>
  </si>
  <si>
    <t xml:space="preserve">Psicomotricidade</t>
  </si>
  <si>
    <t xml:space="preserve">Psicopedagogia</t>
  </si>
  <si>
    <t xml:space="preserve">Terapia alimentar</t>
  </si>
  <si>
    <t xml:space="preserve">Musicoterapia</t>
  </si>
  <si>
    <t xml:space="preserve">Total</t>
  </si>
  <si>
    <t xml:space="preserve">Conferência: total por especialidade menos sessões do dia (deve ser 0)</t>
  </si>
  <si>
    <t xml:space="preserve">Notas: a divisão por especialidade usa pacotes-modelo (a demanda real sai da triagem; o total não muda). Vagas: salas com 2 vagas simultâneas (44 por dia) e Musicoterapia com 1 (22 por dia), deduzidas das porcentagens da apresentação. Semana = 5 dias; mês = ano ÷ 12.</t>
  </si>
  <si>
    <t xml:space="preserve">Consultas, xadrez, capoeira, psicóloga dos pais e oficinas</t>
  </si>
  <si>
    <t xml:space="preserve">Atendimento</t>
  </si>
  <si>
    <t xml:space="preserve">Xadrez: crianças</t>
  </si>
  <si>
    <t xml:space="preserve">Capoeira: crianças</t>
  </si>
  <si>
    <t xml:space="preserve">Psicóloga dos pais: individuais</t>
  </si>
  <si>
    <t xml:space="preserve">Psicóloga dos pais: em grupo</t>
  </si>
  <si>
    <t xml:space="preserve">Oficinas: pais e mães</t>
  </si>
  <si>
    <t xml:space="preserve">Consultas (calculadas por ano; o dia é ano ÷ dias de atendimento)</t>
  </si>
  <si>
    <t xml:space="preserve">Consultas</t>
  </si>
  <si>
    <t xml:space="preserve">Atendimento médico</t>
  </si>
  <si>
    <t xml:space="preserve">Odontologia</t>
  </si>
  <si>
    <t xml:space="preserve">Capacidade da odontologia por ano</t>
  </si>
  <si>
    <t xml:space="preserve">Uso da capacidade</t>
  </si>
  <si>
    <t xml:space="preserve">Consultas médicas por criança por ano</t>
  </si>
  <si>
    <t xml:space="preserve">Notas: médicos 1 dia por mês cada; a criança vem em um dia extra só para a consulta. Xadrez e capoeira alternam a cada visita. Oficinas e odontologia são estimativas. Mês = ano ÷ 12 (valores arredondados na apresentação).</t>
  </si>
  <si>
    <t xml:space="preserve">Total de atendimentos e participações</t>
  </si>
  <si>
    <t xml:space="preserve">Componente</t>
  </si>
  <si>
    <t xml:space="preserve">% do total</t>
  </si>
  <si>
    <t xml:space="preserve">Psicóloga dos pais (individual + grupo)</t>
  </si>
  <si>
    <t xml:space="preserve">Xadrez</t>
  </si>
  <si>
    <t xml:space="preserve">Capoeira</t>
  </si>
  <si>
    <t xml:space="preserve">Oficinas</t>
  </si>
  <si>
    <t xml:space="preserve">Consultas médicas e odontológicas</t>
  </si>
  <si>
    <t xml:space="preserve">Notas: somam terapias, consultas, participações de crianças no xadrez e na capoeira e de pais na psicóloga e nas oficinas. Semana = dia × 5; mês = ano ÷ 12. Na apresentação: 366 por dia, 1.830 por semana, 7.473 por mês, 89.676 por ano.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</si>
</sst>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.0"/>
    <numFmt numFmtId="167" formatCode="#,##0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303A"/>
        <bgColor rgb="FF333333"/>
      </patternFill>
    </fill>
    <fill>
      <patternFill patternType="solid">
        <fgColor rgb="FFCFE6E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6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130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2" t="s">
        <v>5</v>
      </c>
      <c r="B5" s="5" t="n">
        <v>300</v>
      </c>
      <c r="C5" s="2" t="s">
        <v>6</v>
      </c>
    </row>
    <row r="6" customFormat="false" ht="15" hidden="false" customHeight="false" outlineLevel="0" collapsed="false">
      <c r="A6" s="2" t="s">
        <v>7</v>
      </c>
      <c r="B6" s="5" t="n">
        <v>4</v>
      </c>
      <c r="C6" s="2" t="s">
        <v>8</v>
      </c>
    </row>
    <row r="7" customFormat="false" ht="15" hidden="false" customHeight="false" outlineLevel="0" collapsed="false">
      <c r="A7" s="2" t="s">
        <v>9</v>
      </c>
      <c r="B7" s="5" t="n">
        <v>30</v>
      </c>
      <c r="C7" s="2"/>
    </row>
    <row r="8" customFormat="false" ht="15" hidden="false" customHeight="false" outlineLevel="0" collapsed="false">
      <c r="A8" s="2" t="s">
        <v>10</v>
      </c>
      <c r="B8" s="5" t="n">
        <v>245</v>
      </c>
      <c r="C8" s="2" t="s">
        <v>11</v>
      </c>
    </row>
    <row r="9" customFormat="false" ht="15" hidden="false" customHeight="false" outlineLevel="0" collapsed="false">
      <c r="A9" s="2" t="s">
        <v>12</v>
      </c>
      <c r="B9" s="5" t="n">
        <v>5</v>
      </c>
      <c r="C9" s="2"/>
    </row>
    <row r="10" customFormat="false" ht="15" hidden="false" customHeight="false" outlineLevel="0" collapsed="false">
      <c r="A10" s="2" t="s">
        <v>13</v>
      </c>
      <c r="B10" s="5" t="n">
        <v>12</v>
      </c>
      <c r="C10" s="2" t="s">
        <v>14</v>
      </c>
    </row>
    <row r="11" customFormat="false" ht="15" hidden="false" customHeight="false" outlineLevel="0" collapsed="false">
      <c r="A11" s="2" t="s">
        <v>15</v>
      </c>
      <c r="B11" s="5" t="n">
        <v>3</v>
      </c>
      <c r="C11" s="2"/>
    </row>
    <row r="12" customFormat="false" ht="15" hidden="false" customHeight="false" outlineLevel="0" collapsed="false">
      <c r="A12" s="2" t="s">
        <v>16</v>
      </c>
      <c r="B12" s="5" t="n">
        <v>16</v>
      </c>
      <c r="C12" s="2"/>
    </row>
    <row r="13" customFormat="false" ht="15" hidden="false" customHeight="false" outlineLevel="0" collapsed="false">
      <c r="A13" s="2" t="s">
        <v>17</v>
      </c>
      <c r="B13" s="5" t="n">
        <v>1</v>
      </c>
      <c r="C13" s="2"/>
    </row>
    <row r="14" customFormat="false" ht="15" hidden="false" customHeight="false" outlineLevel="0" collapsed="false">
      <c r="A14" s="2" t="s">
        <v>18</v>
      </c>
      <c r="B14" s="5" t="n">
        <v>3</v>
      </c>
      <c r="C14" s="2" t="s">
        <v>19</v>
      </c>
    </row>
    <row r="15" customFormat="false" ht="15" hidden="false" customHeight="false" outlineLevel="0" collapsed="false">
      <c r="A15" s="2" t="s">
        <v>20</v>
      </c>
      <c r="B15" s="5" t="n">
        <v>2</v>
      </c>
      <c r="C15" s="2" t="s">
        <v>21</v>
      </c>
    </row>
    <row r="16" customFormat="false" ht="15" hidden="false" customHeight="false" outlineLevel="0" collapsed="false">
      <c r="A16" s="2" t="s">
        <v>22</v>
      </c>
      <c r="B16" s="5" t="n">
        <v>13</v>
      </c>
      <c r="C16" s="2" t="s">
        <v>23</v>
      </c>
    </row>
    <row r="17" customFormat="false" ht="15" hidden="false" customHeight="false" outlineLevel="0" collapsed="false">
      <c r="A17" s="2" t="s">
        <v>24</v>
      </c>
      <c r="B17" s="6" t="n">
        <v>0.5</v>
      </c>
      <c r="C17" s="2" t="s">
        <v>25</v>
      </c>
    </row>
    <row r="18" customFormat="false" ht="15" hidden="false" customHeight="false" outlineLevel="0" collapsed="false">
      <c r="A18" s="2" t="s">
        <v>26</v>
      </c>
      <c r="B18" s="6" t="n">
        <v>0.5</v>
      </c>
      <c r="C18" s="2"/>
    </row>
    <row r="19" customFormat="false" ht="15" hidden="false" customHeight="false" outlineLevel="0" collapsed="false">
      <c r="A19" s="2" t="s">
        <v>27</v>
      </c>
      <c r="B19" s="6" t="n">
        <v>0.25</v>
      </c>
      <c r="C19" s="2" t="s">
        <v>28</v>
      </c>
    </row>
    <row r="20" customFormat="false" ht="15" hidden="false" customHeight="false" outlineLevel="0" collapsed="false">
      <c r="A20" s="2" t="s">
        <v>29</v>
      </c>
      <c r="B20" s="6" t="n">
        <v>0.25</v>
      </c>
      <c r="C20" s="2" t="s">
        <v>30</v>
      </c>
    </row>
    <row r="21" customFormat="false" ht="15" hidden="false" customHeight="false" outlineLevel="0" collapsed="false">
      <c r="A21" s="2" t="s">
        <v>31</v>
      </c>
      <c r="B21" s="6" t="n">
        <v>0.5</v>
      </c>
      <c r="C21" s="2" t="s">
        <v>32</v>
      </c>
    </row>
    <row r="22" customFormat="false" ht="15" hidden="false" customHeight="false" outlineLevel="0" collapsed="false">
      <c r="A22" s="2"/>
      <c r="B22" s="2"/>
      <c r="C22" s="2"/>
    </row>
    <row r="23" customFormat="false" ht="15" hidden="false" customHeight="false" outlineLevel="0" collapsed="false">
      <c r="A23" s="2" t="s">
        <v>33</v>
      </c>
      <c r="B23" s="7" t="n">
        <f aca="false">B5/B9</f>
        <v>60</v>
      </c>
      <c r="C23" s="2"/>
    </row>
    <row r="24" customFormat="false" ht="15" hidden="false" customHeight="false" outlineLevel="0" collapsed="false">
      <c r="A24" s="2" t="s">
        <v>34</v>
      </c>
      <c r="B24" s="7" t="n">
        <f aca="false">B8/B9</f>
        <v>49</v>
      </c>
      <c r="C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1" t="s">
        <v>35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3" t="s">
        <v>36</v>
      </c>
      <c r="B3" s="4" t="s">
        <v>37</v>
      </c>
      <c r="C3" s="4" t="s">
        <v>38</v>
      </c>
      <c r="D3" s="4" t="s">
        <v>39</v>
      </c>
      <c r="E3" s="4" t="s">
        <v>40</v>
      </c>
    </row>
    <row r="4" customFormat="false" ht="15" hidden="false" customHeight="false" outlineLevel="0" collapsed="false">
      <c r="A4" s="2" t="s">
        <v>41</v>
      </c>
      <c r="B4" s="8" t="n">
        <f aca="false">Premissas!$B$23</f>
        <v>60</v>
      </c>
      <c r="C4" s="8" t="n">
        <f aca="false">B4*Premissas!$B$9</f>
        <v>300</v>
      </c>
      <c r="D4" s="8" t="n">
        <f aca="false">E4/Premissas!$B$10</f>
        <v>1225</v>
      </c>
      <c r="E4" s="8" t="n">
        <f aca="false">B4*Premissas!$B$8</f>
        <v>14700</v>
      </c>
    </row>
    <row r="5" customFormat="false" ht="15" hidden="false" customHeight="false" outlineLevel="0" collapsed="false">
      <c r="A5" s="9" t="s">
        <v>42</v>
      </c>
      <c r="B5" s="10" t="n">
        <f aca="false">B4*Premissas!$B$6</f>
        <v>240</v>
      </c>
      <c r="C5" s="10" t="n">
        <f aca="false">B5*Premissas!$B$9</f>
        <v>1200</v>
      </c>
      <c r="D5" s="10" t="n">
        <f aca="false">E5/Premissas!$B$10</f>
        <v>4900</v>
      </c>
      <c r="E5" s="10" t="n">
        <f aca="false">B5*Premissas!$B$8</f>
        <v>58800</v>
      </c>
    </row>
    <row r="6" customFormat="false" ht="15" hidden="false" customHeight="false" outlineLevel="0" collapsed="false">
      <c r="A6" s="2" t="s">
        <v>43</v>
      </c>
      <c r="B6" s="8" t="n">
        <f aca="false">B5*Premissas!$B$7/60</f>
        <v>120</v>
      </c>
      <c r="C6" s="8" t="n">
        <f aca="false">B6*Premissas!$B$9</f>
        <v>600</v>
      </c>
      <c r="D6" s="8" t="n">
        <f aca="false">E6/Premissas!$B$10</f>
        <v>2450</v>
      </c>
      <c r="E6" s="8" t="n">
        <f aca="false">B6*Premissas!$B$8</f>
        <v>29400</v>
      </c>
    </row>
    <row r="7" customFormat="false" ht="15" hidden="false" customHeight="false" outlineLevel="0" collapsed="false">
      <c r="A7" s="2"/>
      <c r="B7" s="2"/>
      <c r="C7" s="2"/>
      <c r="D7" s="2"/>
      <c r="E7" s="2"/>
    </row>
    <row r="8" customFormat="false" ht="15" hidden="false" customHeight="false" outlineLevel="0" collapsed="false">
      <c r="A8" s="11" t="s">
        <v>44</v>
      </c>
      <c r="B8" s="2"/>
      <c r="C8" s="2"/>
      <c r="D8" s="2"/>
      <c r="E8" s="2"/>
    </row>
    <row r="9" customFormat="false" ht="15" hidden="false" customHeight="false" outlineLevel="0" collapsed="false">
      <c r="A9" s="3" t="s">
        <v>45</v>
      </c>
      <c r="B9" s="4" t="s">
        <v>46</v>
      </c>
      <c r="C9" s="4" t="s">
        <v>47</v>
      </c>
      <c r="D9" s="4" t="s">
        <v>48</v>
      </c>
      <c r="E9" s="4" t="s">
        <v>49</v>
      </c>
    </row>
    <row r="10" customFormat="false" ht="15" hidden="false" customHeight="false" outlineLevel="0" collapsed="false">
      <c r="A10" s="2" t="s">
        <v>50</v>
      </c>
      <c r="B10" s="5" t="n">
        <v>42</v>
      </c>
      <c r="C10" s="5" t="n">
        <v>44</v>
      </c>
      <c r="D10" s="12" t="n">
        <f aca="false">B10/C10</f>
        <v>0.954545454545455</v>
      </c>
      <c r="E10" s="8" t="n">
        <f aca="false">B10*Premissas!$B$8</f>
        <v>10290</v>
      </c>
    </row>
    <row r="11" customFormat="false" ht="15" hidden="false" customHeight="false" outlineLevel="0" collapsed="false">
      <c r="A11" s="2" t="s">
        <v>51</v>
      </c>
      <c r="B11" s="5" t="n">
        <v>39</v>
      </c>
      <c r="C11" s="5" t="n">
        <v>44</v>
      </c>
      <c r="D11" s="12" t="n">
        <f aca="false">B11/C11</f>
        <v>0.886363636363636</v>
      </c>
      <c r="E11" s="8" t="n">
        <f aca="false">B11*Premissas!$B$8</f>
        <v>9555</v>
      </c>
    </row>
    <row r="12" customFormat="false" ht="15" hidden="false" customHeight="false" outlineLevel="0" collapsed="false">
      <c r="A12" s="2" t="s">
        <v>52</v>
      </c>
      <c r="B12" s="5" t="n">
        <v>39</v>
      </c>
      <c r="C12" s="5" t="n">
        <v>44</v>
      </c>
      <c r="D12" s="12" t="n">
        <f aca="false">B12/C12</f>
        <v>0.886363636363636</v>
      </c>
      <c r="E12" s="8" t="n">
        <f aca="false">B12*Premissas!$B$8</f>
        <v>9555</v>
      </c>
    </row>
    <row r="13" customFormat="false" ht="15" hidden="false" customHeight="false" outlineLevel="0" collapsed="false">
      <c r="A13" s="2" t="s">
        <v>53</v>
      </c>
      <c r="B13" s="5" t="n">
        <v>39</v>
      </c>
      <c r="C13" s="5" t="n">
        <v>44</v>
      </c>
      <c r="D13" s="12" t="n">
        <f aca="false">B13/C13</f>
        <v>0.886363636363636</v>
      </c>
      <c r="E13" s="8" t="n">
        <f aca="false">B13*Premissas!$B$8</f>
        <v>9555</v>
      </c>
    </row>
    <row r="14" customFormat="false" ht="15" hidden="false" customHeight="false" outlineLevel="0" collapsed="false">
      <c r="A14" s="2" t="s">
        <v>54</v>
      </c>
      <c r="B14" s="5" t="n">
        <v>33</v>
      </c>
      <c r="C14" s="5" t="n">
        <v>44</v>
      </c>
      <c r="D14" s="12" t="n">
        <f aca="false">B14/C14</f>
        <v>0.75</v>
      </c>
      <c r="E14" s="8" t="n">
        <f aca="false">B14*Premissas!$B$8</f>
        <v>8085</v>
      </c>
    </row>
    <row r="15" customFormat="false" ht="15" hidden="false" customHeight="false" outlineLevel="0" collapsed="false">
      <c r="A15" s="2" t="s">
        <v>55</v>
      </c>
      <c r="B15" s="5" t="n">
        <v>30</v>
      </c>
      <c r="C15" s="5" t="n">
        <v>44</v>
      </c>
      <c r="D15" s="12" t="n">
        <f aca="false">B15/C15</f>
        <v>0.681818181818182</v>
      </c>
      <c r="E15" s="8" t="n">
        <f aca="false">B15*Premissas!$B$8</f>
        <v>7350</v>
      </c>
    </row>
    <row r="16" customFormat="false" ht="15" hidden="false" customHeight="false" outlineLevel="0" collapsed="false">
      <c r="A16" s="2" t="s">
        <v>56</v>
      </c>
      <c r="B16" s="5" t="n">
        <v>18</v>
      </c>
      <c r="C16" s="5" t="n">
        <v>22</v>
      </c>
      <c r="D16" s="12" t="n">
        <f aca="false">B16/C16</f>
        <v>0.818181818181818</v>
      </c>
      <c r="E16" s="8" t="n">
        <f aca="false">B16*Premissas!$B$8</f>
        <v>4410</v>
      </c>
    </row>
    <row r="17" customFormat="false" ht="15" hidden="false" customHeight="false" outlineLevel="0" collapsed="false">
      <c r="A17" s="9" t="s">
        <v>57</v>
      </c>
      <c r="B17" s="9" t="n">
        <f aca="false">SUM(B10:B16)</f>
        <v>240</v>
      </c>
      <c r="C17" s="9" t="n">
        <f aca="false">SUM(C10:C16)</f>
        <v>286</v>
      </c>
      <c r="D17" s="13" t="n">
        <f aca="false">B17/C17</f>
        <v>0.839160839160839</v>
      </c>
      <c r="E17" s="10" t="n">
        <f aca="false">SUM(E10:E16)</f>
        <v>58800</v>
      </c>
    </row>
    <row r="18" customFormat="false" ht="15" hidden="false" customHeight="false" outlineLevel="0" collapsed="false">
      <c r="A18" s="2" t="s">
        <v>58</v>
      </c>
      <c r="B18" s="2" t="n">
        <f aca="false">B17-B5</f>
        <v>0</v>
      </c>
      <c r="C18" s="2"/>
      <c r="D18" s="2"/>
      <c r="E18" s="2"/>
    </row>
    <row r="19" customFormat="false" ht="15" hidden="false" customHeight="false" outlineLevel="0" collapsed="false">
      <c r="A19" s="2"/>
      <c r="B19" s="2"/>
      <c r="C19" s="2"/>
      <c r="D19" s="2"/>
      <c r="E19" s="2"/>
    </row>
    <row r="20" customFormat="false" ht="15" hidden="false" customHeight="false" outlineLevel="0" collapsed="false">
      <c r="A20" s="2" t="s">
        <v>59</v>
      </c>
      <c r="B20" s="2"/>
      <c r="C20" s="2"/>
      <c r="D20" s="2"/>
      <c r="E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60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3" t="s">
        <v>61</v>
      </c>
      <c r="B3" s="4" t="s">
        <v>37</v>
      </c>
      <c r="C3" s="4" t="s">
        <v>38</v>
      </c>
      <c r="D3" s="4" t="s">
        <v>39</v>
      </c>
      <c r="E3" s="4" t="s">
        <v>40</v>
      </c>
    </row>
    <row r="4" customFormat="false" ht="15" hidden="false" customHeight="false" outlineLevel="0" collapsed="false">
      <c r="A4" s="2" t="s">
        <v>62</v>
      </c>
      <c r="B4" s="8" t="n">
        <f aca="false">Terapias!$B$4*Premissas!$B$17</f>
        <v>30</v>
      </c>
      <c r="C4" s="8" t="n">
        <f aca="false">B4*Premissas!$B$9</f>
        <v>150</v>
      </c>
      <c r="D4" s="8" t="n">
        <f aca="false">E4/Premissas!$B$10</f>
        <v>612.5</v>
      </c>
      <c r="E4" s="8" t="n">
        <f aca="false">B4*Premissas!$B$8</f>
        <v>7350</v>
      </c>
    </row>
    <row r="5" customFormat="false" ht="15" hidden="false" customHeight="false" outlineLevel="0" collapsed="false">
      <c r="A5" s="2" t="s">
        <v>63</v>
      </c>
      <c r="B5" s="8" t="n">
        <f aca="false">Terapias!$B$4*Premissas!$B$18</f>
        <v>30</v>
      </c>
      <c r="C5" s="8" t="n">
        <f aca="false">B5*Premissas!$B$9</f>
        <v>150</v>
      </c>
      <c r="D5" s="8" t="n">
        <f aca="false">E5/Premissas!$B$10</f>
        <v>612.5</v>
      </c>
      <c r="E5" s="8" t="n">
        <f aca="false">B5*Premissas!$B$8</f>
        <v>7350</v>
      </c>
    </row>
    <row r="6" customFormat="false" ht="15" hidden="false" customHeight="false" outlineLevel="0" collapsed="false">
      <c r="A6" s="2" t="s">
        <v>64</v>
      </c>
      <c r="B6" s="8" t="n">
        <f aca="false">Terapias!$B$4*Premissas!$B$19</f>
        <v>15</v>
      </c>
      <c r="C6" s="8" t="n">
        <f aca="false">B6*Premissas!$B$9</f>
        <v>75</v>
      </c>
      <c r="D6" s="8" t="n">
        <f aca="false">E6/Premissas!$B$10</f>
        <v>306.25</v>
      </c>
      <c r="E6" s="8" t="n">
        <f aca="false">B6*Premissas!$B$8</f>
        <v>3675</v>
      </c>
    </row>
    <row r="7" customFormat="false" ht="15" hidden="false" customHeight="false" outlineLevel="0" collapsed="false">
      <c r="A7" s="2" t="s">
        <v>65</v>
      </c>
      <c r="B7" s="8" t="n">
        <f aca="false">Terapias!$B$4*Premissas!$B$20</f>
        <v>15</v>
      </c>
      <c r="C7" s="8" t="n">
        <f aca="false">B7*Premissas!$B$9</f>
        <v>75</v>
      </c>
      <c r="D7" s="8" t="n">
        <f aca="false">E7/Premissas!$B$10</f>
        <v>306.25</v>
      </c>
      <c r="E7" s="8" t="n">
        <f aca="false">B7*Premissas!$B$8</f>
        <v>3675</v>
      </c>
    </row>
    <row r="8" customFormat="false" ht="15" hidden="false" customHeight="false" outlineLevel="0" collapsed="false">
      <c r="A8" s="2" t="s">
        <v>66</v>
      </c>
      <c r="B8" s="8" t="n">
        <f aca="false">Terapias!$B$4*Premissas!$B$21</f>
        <v>30</v>
      </c>
      <c r="C8" s="8" t="n">
        <f aca="false">B8*Premissas!$B$9</f>
        <v>150</v>
      </c>
      <c r="D8" s="8" t="n">
        <f aca="false">E8/Premissas!$B$10</f>
        <v>612.5</v>
      </c>
      <c r="E8" s="8" t="n">
        <f aca="false">B8*Premissas!$B$8</f>
        <v>7350</v>
      </c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false" outlineLevel="0" collapsed="false">
      <c r="A10" s="11" t="s">
        <v>67</v>
      </c>
      <c r="B10" s="2"/>
      <c r="C10" s="2"/>
      <c r="D10" s="2"/>
      <c r="E10" s="2"/>
    </row>
    <row r="11" customFormat="false" ht="15" hidden="false" customHeight="false" outlineLevel="0" collapsed="false">
      <c r="A11" s="3" t="s">
        <v>68</v>
      </c>
      <c r="B11" s="4" t="s">
        <v>37</v>
      </c>
      <c r="C11" s="4" t="s">
        <v>38</v>
      </c>
      <c r="D11" s="4" t="s">
        <v>39</v>
      </c>
      <c r="E11" s="4" t="s">
        <v>40</v>
      </c>
    </row>
    <row r="12" customFormat="false" ht="15" hidden="false" customHeight="false" outlineLevel="0" collapsed="false">
      <c r="A12" s="2" t="s">
        <v>69</v>
      </c>
      <c r="B12" s="14" t="n">
        <f aca="false">E12/Premissas!$B$8</f>
        <v>2.35102040816327</v>
      </c>
      <c r="C12" s="14" t="n">
        <f aca="false">E12/Premissas!$B$24</f>
        <v>11.7551020408163</v>
      </c>
      <c r="D12" s="8" t="n">
        <f aca="false">E12/Premissas!$B$10</f>
        <v>48</v>
      </c>
      <c r="E12" s="8" t="n">
        <f aca="false">Premissas!$B$11*Premissas!$B$13*Premissas!$B$10*Premissas!$B$12</f>
        <v>576</v>
      </c>
    </row>
    <row r="13" customFormat="false" ht="15" hidden="false" customHeight="false" outlineLevel="0" collapsed="false">
      <c r="A13" s="2" t="s">
        <v>70</v>
      </c>
      <c r="B13" s="14" t="n">
        <f aca="false">E13/Premissas!$B$8</f>
        <v>3.6734693877551</v>
      </c>
      <c r="C13" s="14" t="n">
        <f aca="false">E13/Premissas!$B$24</f>
        <v>18.3673469387755</v>
      </c>
      <c r="D13" s="8" t="n">
        <f aca="false">E13/Premissas!$B$10</f>
        <v>75</v>
      </c>
      <c r="E13" s="8" t="n">
        <f aca="false">Premissas!$B$14*Premissas!$B$5</f>
        <v>900</v>
      </c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15" hidden="false" customHeight="false" outlineLevel="0" collapsed="false">
      <c r="A15" s="2" t="s">
        <v>71</v>
      </c>
      <c r="B15" s="2"/>
      <c r="C15" s="2"/>
      <c r="D15" s="2"/>
      <c r="E15" s="8" t="n">
        <f aca="false">Premissas!$B$16*Premissas!$B$15*Premissas!$B$24</f>
        <v>1274</v>
      </c>
    </row>
    <row r="16" customFormat="false" ht="15" hidden="false" customHeight="false" outlineLevel="0" collapsed="false">
      <c r="A16" s="2" t="s">
        <v>72</v>
      </c>
      <c r="B16" s="2"/>
      <c r="C16" s="2"/>
      <c r="D16" s="2"/>
      <c r="E16" s="12" t="n">
        <f aca="false">E13/E15</f>
        <v>0.706436420722135</v>
      </c>
    </row>
    <row r="17" customFormat="false" ht="15" hidden="false" customHeight="false" outlineLevel="0" collapsed="false">
      <c r="A17" s="2" t="s">
        <v>73</v>
      </c>
      <c r="B17" s="2"/>
      <c r="C17" s="2"/>
      <c r="D17" s="2"/>
      <c r="E17" s="15" t="n">
        <f aca="false">E12/Premissas!$B$5</f>
        <v>1.92</v>
      </c>
    </row>
    <row r="18" customFormat="false" ht="15" hidden="false" customHeight="false" outlineLevel="0" collapsed="false">
      <c r="A18" s="2"/>
      <c r="B18" s="2"/>
      <c r="C18" s="2"/>
      <c r="D18" s="2"/>
      <c r="E18" s="2"/>
    </row>
    <row r="19" customFormat="false" ht="15" hidden="false" customHeight="false" outlineLevel="0" collapsed="false">
      <c r="A19" s="2" t="s">
        <v>74</v>
      </c>
      <c r="B19" s="2"/>
      <c r="C19" s="2"/>
      <c r="D19" s="2"/>
      <c r="E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75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76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77</v>
      </c>
    </row>
    <row r="4" customFormat="false" ht="15" hidden="false" customHeight="false" outlineLevel="0" collapsed="false">
      <c r="A4" s="2" t="s">
        <v>35</v>
      </c>
      <c r="B4" s="8" t="n">
        <f aca="false">E4/Premissas!$B$8</f>
        <v>240</v>
      </c>
      <c r="C4" s="8" t="n">
        <f aca="false">B4*Premissas!$B$9</f>
        <v>1200</v>
      </c>
      <c r="D4" s="8" t="n">
        <f aca="false">E4/Premissas!$B$10</f>
        <v>4900</v>
      </c>
      <c r="E4" s="8" t="n">
        <f aca="false">Terapias!E5</f>
        <v>58800</v>
      </c>
      <c r="F4" s="12" t="n">
        <f aca="false">E4/$E$10</f>
        <v>0.655693831125385</v>
      </c>
    </row>
    <row r="5" customFormat="false" ht="15" hidden="false" customHeight="false" outlineLevel="0" collapsed="false">
      <c r="A5" s="2" t="s">
        <v>78</v>
      </c>
      <c r="B5" s="8" t="n">
        <f aca="false">E5/Premissas!$B$8</f>
        <v>30</v>
      </c>
      <c r="C5" s="8" t="n">
        <f aca="false">B5*Premissas!$B$9</f>
        <v>150</v>
      </c>
      <c r="D5" s="8" t="n">
        <f aca="false">E5/Premissas!$B$10</f>
        <v>612.5</v>
      </c>
      <c r="E5" s="8" t="n">
        <f aca="false">'Outros atendimentos'!E6+'Outros atendimentos'!E7</f>
        <v>7350</v>
      </c>
      <c r="F5" s="12" t="n">
        <f aca="false">E5/$E$10</f>
        <v>0.0819617288906731</v>
      </c>
    </row>
    <row r="6" customFormat="false" ht="15" hidden="false" customHeight="false" outlineLevel="0" collapsed="false">
      <c r="A6" s="2" t="s">
        <v>79</v>
      </c>
      <c r="B6" s="8" t="n">
        <f aca="false">E6/Premissas!$B$8</f>
        <v>30</v>
      </c>
      <c r="C6" s="8" t="n">
        <f aca="false">B6*Premissas!$B$9</f>
        <v>150</v>
      </c>
      <c r="D6" s="8" t="n">
        <f aca="false">E6/Premissas!$B$10</f>
        <v>612.5</v>
      </c>
      <c r="E6" s="8" t="n">
        <f aca="false">'Outros atendimentos'!E4</f>
        <v>7350</v>
      </c>
      <c r="F6" s="12" t="n">
        <f aca="false">E6/$E$10</f>
        <v>0.0819617288906731</v>
      </c>
    </row>
    <row r="7" customFormat="false" ht="15" hidden="false" customHeight="false" outlineLevel="0" collapsed="false">
      <c r="A7" s="2" t="s">
        <v>80</v>
      </c>
      <c r="B7" s="8" t="n">
        <f aca="false">E7/Premissas!$B$8</f>
        <v>30</v>
      </c>
      <c r="C7" s="8" t="n">
        <f aca="false">B7*Premissas!$B$9</f>
        <v>150</v>
      </c>
      <c r="D7" s="8" t="n">
        <f aca="false">E7/Premissas!$B$10</f>
        <v>612.5</v>
      </c>
      <c r="E7" s="8" t="n">
        <f aca="false">'Outros atendimentos'!E5</f>
        <v>7350</v>
      </c>
      <c r="F7" s="12" t="n">
        <f aca="false">E7/$E$10</f>
        <v>0.0819617288906731</v>
      </c>
    </row>
    <row r="8" customFormat="false" ht="15" hidden="false" customHeight="false" outlineLevel="0" collapsed="false">
      <c r="A8" s="2" t="s">
        <v>81</v>
      </c>
      <c r="B8" s="8" t="n">
        <f aca="false">E8/Premissas!$B$8</f>
        <v>30</v>
      </c>
      <c r="C8" s="8" t="n">
        <f aca="false">B8*Premissas!$B$9</f>
        <v>150</v>
      </c>
      <c r="D8" s="8" t="n">
        <f aca="false">E8/Premissas!$B$10</f>
        <v>612.5</v>
      </c>
      <c r="E8" s="8" t="n">
        <f aca="false">'Outros atendimentos'!E8</f>
        <v>7350</v>
      </c>
      <c r="F8" s="12" t="n">
        <f aca="false">E8/$E$10</f>
        <v>0.0819617288906731</v>
      </c>
    </row>
    <row r="9" customFormat="false" ht="15" hidden="false" customHeight="false" outlineLevel="0" collapsed="false">
      <c r="A9" s="2" t="s">
        <v>82</v>
      </c>
      <c r="B9" s="8" t="n">
        <f aca="false">E9/Premissas!$B$8</f>
        <v>6.02448979591837</v>
      </c>
      <c r="C9" s="8" t="n">
        <f aca="false">B9*Premissas!$B$9</f>
        <v>30.1224489795918</v>
      </c>
      <c r="D9" s="8" t="n">
        <f aca="false">E9/Premissas!$B$10</f>
        <v>123</v>
      </c>
      <c r="E9" s="8" t="n">
        <f aca="false">'Outros atendimentos'!E12+'Outros atendimentos'!E13</f>
        <v>1476</v>
      </c>
      <c r="F9" s="12" t="n">
        <f aca="false">E9/$E$10</f>
        <v>0.0164592533119229</v>
      </c>
    </row>
    <row r="10" customFormat="false" ht="15" hidden="false" customHeight="false" outlineLevel="0" collapsed="false">
      <c r="A10" s="9" t="s">
        <v>57</v>
      </c>
      <c r="B10" s="10" t="n">
        <f aca="false">SUM(B4:B9)</f>
        <v>366.024489795918</v>
      </c>
      <c r="C10" s="10" t="n">
        <f aca="false">SUM(C4:C9)</f>
        <v>1830.12244897959</v>
      </c>
      <c r="D10" s="10" t="n">
        <f aca="false">SUM(D4:D9)</f>
        <v>7473</v>
      </c>
      <c r="E10" s="10" t="n">
        <f aca="false">SUM(E4:E9)</f>
        <v>89676</v>
      </c>
      <c r="F10" s="13" t="n">
        <f aca="false">SUM(F4:F9)</f>
        <v>1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2" t="s">
        <v>83</v>
      </c>
      <c r="B12" s="2"/>
      <c r="C12" s="2"/>
      <c r="D12" s="2"/>
      <c r="E12" s="2"/>
      <c r="F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2026-10-24T15:54:48Z</dcterms:created>
  <dc:creator>openpyxl</dc:creator>
  <dc:description/>
  <dc:language>en-US</dc:language>
  <cp:lastModifiedBy/>
  <dcterms:modified xsi:type="dcterms:W3CDTF">2026-10-24T15:54:48Z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