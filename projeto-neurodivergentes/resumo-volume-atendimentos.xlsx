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Premiss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<sst xmlns="http://schemas.openxmlformats.org/spreadsheetml/2006/main" count="102" uniqueCount="100">
  <si>
    <t xml:space="preserve">Instituto Affectus – volume de atendimentos para validação</t>
  </si>
  <si>
    <t xml:space="preserve">Cenário: 300 crianças, 16 sessões de 30 min por mês, 1 visita de 2 h por semana. Semana = 5 dias de atendimento; mês = média de 246 dias ÷ 12; ano = 246 dias.</t>
  </si>
  <si>
    <t xml:space="preserve">Atendimento</t>
  </si>
  <si>
    <t xml:space="preserve">Por dia</t>
  </si>
  <si>
    <t xml:space="preserve">Por semana</t>
  </si>
  <si>
    <t xml:space="preserve">Por mês</t>
  </si>
  <si>
    <t xml:space="preserve">Por ano</t>
  </si>
  <si>
    <t xml:space="preserve">Como foi calculado</t>
  </si>
  <si>
    <t xml:space="preserve">Ocupação das vagas</t>
  </si>
  <si>
    <t xml:space="preserve">Números-chave</t>
  </si>
  <si>
    <t xml:space="preserve">Famílias presentes (visitas)</t>
  </si>
  <si>
    <t xml:space="preserve">60 visitas por dia: cada criança vem 1 vez por semana</t>
  </si>
  <si>
    <t xml:space="preserve">Terapias seriadas (todas as especialidades)</t>
  </si>
  <si>
    <t xml:space="preserve">Visitas de 2 h</t>
  </si>
  <si>
    <t xml:space="preserve">60 visitas por dia</t>
  </si>
  <si>
    <t xml:space="preserve">Sessões de 30 min</t>
  </si>
  <si>
    <t xml:space="preserve">4 sessões por visita; 16 por criança a cada 4 semanas</t>
  </si>
  <si>
    <t xml:space="preserve">Horas de terapia</t>
  </si>
  <si>
    <t xml:space="preserve">Sessões × 30 min</t>
  </si>
  <si>
    <t xml:space="preserve">Sessões por especialidade (pacotes-modelo; a composição real depende da triagem)</t>
  </si>
  <si>
    <t xml:space="preserve">Psicologia</t>
  </si>
  <si>
    <t xml:space="preserve">42 sessões por dia na grade; 2 vaga(s) simultânea(s)</t>
  </si>
  <si>
    <t xml:space="preserve">Terapia Ocupacional</t>
  </si>
  <si>
    <t xml:space="preserve">39 sessões por dia na grade; 2 vaga(s) simultânea(s)</t>
  </si>
  <si>
    <t xml:space="preserve">Fonoaudiologia</t>
  </si>
  <si>
    <t xml:space="preserve">Psicopedagogia</t>
  </si>
  <si>
    <t xml:space="preserve">33 sessões por dia na grade; 2 vaga(s) simultânea(s)</t>
  </si>
  <si>
    <t xml:space="preserve">Psicomotricidade</t>
  </si>
  <si>
    <t xml:space="preserve">Musicoterapia</t>
  </si>
  <si>
    <t xml:space="preserve">18 sessões por dia na grade; 1 vaga(s) simultânea(s)</t>
  </si>
  <si>
    <t xml:space="preserve">Terapia alimentar</t>
  </si>
  <si>
    <t xml:space="preserve">30 sessões por dia na grade; 2 vaga(s) simultânea(s)</t>
  </si>
  <si>
    <t xml:space="preserve">Conferência: soma das especialidades</t>
  </si>
  <si>
    <t xml:space="preserve">Deve ser igual às sessões de 30 min</t>
  </si>
  <si>
    <t xml:space="preserve">Demais atendimentos</t>
  </si>
  <si>
    <t xml:space="preserve">Consultas médicas (neuropediatra, psiquiatra infantil e pediatra)</t>
  </si>
  <si>
    <t xml:space="preserve">16 consultas por dia médico; 36 dias médicos por ano. 'Por dia' é a média dos 246 dias; em cada dia médico são 16.</t>
  </si>
  <si>
    <t xml:space="preserve">Consultas odontológicas</t>
  </si>
  <si>
    <t xml:space="preserve">300 crianças × 3 consultas por ano. Capacidade: 16 vagas por dia.</t>
  </si>
  <si>
    <t xml:space="preserve">Xadrez: participações de crianças</t>
  </si>
  <si>
    <t xml:space="preserve">Metade das visitas</t>
  </si>
  <si>
    <t xml:space="preserve">Xadrez: aulas de 1 h</t>
  </si>
  <si>
    <t xml:space="preserve">Turmas de 6 crianças</t>
  </si>
  <si>
    <t xml:space="preserve">Capoeira: participações de crianças</t>
  </si>
  <si>
    <t xml:space="preserve">Outra metade das visitas</t>
  </si>
  <si>
    <t xml:space="preserve">Capoeira: aulas de 1 h</t>
  </si>
  <si>
    <t xml:space="preserve">Turmas de 10 crianças</t>
  </si>
  <si>
    <t xml:space="preserve">Psicóloga dos pais: sessões individuais de 30 min</t>
  </si>
  <si>
    <t xml:space="preserve">1 sessão a cada 2 visitas; metade individual</t>
  </si>
  <si>
    <t xml:space="preserve">Psicóloga dos pais: participações em grupo</t>
  </si>
  <si>
    <t xml:space="preserve">Metade em grupo</t>
  </si>
  <si>
    <t xml:space="preserve">Psicóloga dos pais: encontros de grupo de 30 min</t>
  </si>
  <si>
    <t xml:space="preserve">Grupos de 8 pais</t>
  </si>
  <si>
    <t xml:space="preserve">Oficinas: participações de pais e mães</t>
  </si>
  <si>
    <t xml:space="preserve">Pais que não estão com a psicóloga na visita. Estimativa; funcionamento a definir.</t>
  </si>
  <si>
    <t xml:space="preserve">Oficinas: encontros de 1h30</t>
  </si>
  <si>
    <t xml:space="preserve">Turmas de 10 pessoas. Capacidade: 7 encontros por dia</t>
  </si>
  <si>
    <t xml:space="preserve">Total</t>
  </si>
  <si>
    <t xml:space="preserve">Total de atendimentos e participações</t>
  </si>
  <si>
    <t xml:space="preserve">Terapias + consultas médicas e odontológicas + participações de crianças (xadrez, capoeira) e de pais (psicóloga, oficinas). Não soma aulas e encontros de grupo.</t>
  </si>
  <si>
    <t xml:space="preserve">Observações</t>
  </si>
  <si>
    <t xml:space="preserve">Os números de terapias por especialidade vêm de pacotes-modelo; quando a triagem mostrar a demanda real, a divisão entre especialidades muda, mas o total de 240 sessões por dia não muda.</t>
  </si>
  <si>
    <t xml:space="preserve">Os valores 'por dia' dos serviços que não funcionam todo dia (consultas médicas) são médias; no dia médico são 16 consultas por médico.</t>
  </si>
  <si>
    <t xml:space="preserve">Terapias, xadrez, capoeira, psicóloga dos pais e consultas médicas já constam da grade e das abas Médicos e Agenda médica do artefato Instituto Affectus. Odontologia e oficinas são estimativas de demanda.</t>
  </si>
  <si>
    <t xml:space="preserve">Crianças de segunda e sexta fazem 48 visitas por ano; as de terça a quinta, 50 (feriados). A diferença é de até 4 sessões por criança no ano.</t>
  </si>
  <si>
    <t xml:space="preserve">Pontos ainda abertos: São João (24/06/2027), oficinas, origem dos pacientes e remuneração por turno.</t>
  </si>
  <si>
    <t xml:space="preserve">Premissas (azul = informado; pode ser alterado e tudo se recalcula)</t>
  </si>
  <si>
    <t xml:space="preserve">Dias de atendimento por ano</t>
  </si>
  <si>
    <t xml:space="preserve">Calendário de Aracaju, jul/2026 a jun/2027 (inclui São João descontado; funcionando seriam 247)</t>
  </si>
  <si>
    <t xml:space="preserve">Dias de atendimento por semana</t>
  </si>
  <si>
    <t xml:space="preserve">Segunda a sexta</t>
  </si>
  <si>
    <t xml:space="preserve">Meses por ano</t>
  </si>
  <si>
    <t xml:space="preserve">Crianças atendidas</t>
  </si>
  <si>
    <t xml:space="preserve">Cenário de 100% de ocupação</t>
  </si>
  <si>
    <t xml:space="preserve">Visitas por dia</t>
  </si>
  <si>
    <t xml:space="preserve">Grade comprovada: 60 blocos de visita por dia, 1 criança por bloco e por dia da semana</t>
  </si>
  <si>
    <t xml:space="preserve">Sessões de 30 min por visita</t>
  </si>
  <si>
    <t xml:space="preserve">4 especialidades por criança</t>
  </si>
  <si>
    <t xml:space="preserve">Minutos por sessão</t>
  </si>
  <si>
    <t xml:space="preserve">Vagas de sessão por sala por dia</t>
  </si>
  <si>
    <t xml:space="preserve">11 horas úteis ÷ 30 min</t>
  </si>
  <si>
    <t xml:space="preserve">Consultas médicas por dia médico</t>
  </si>
  <si>
    <t xml:space="preserve">30 min, das 8h às 12h e das 13h às 17h</t>
  </si>
  <si>
    <t xml:space="preserve">Dias médicos por ano</t>
  </si>
  <si>
    <t xml:space="preserve">1 dia por mês por médico, 3 médicos</t>
  </si>
  <si>
    <t xml:space="preserve">Consultas odontológicas por criança por ano</t>
  </si>
  <si>
    <t xml:space="preserve">Primeira consulta e retornos a cada 4 a 5 meses</t>
  </si>
  <si>
    <t xml:space="preserve">Vagas de consulta odontológica por dia</t>
  </si>
  <si>
    <t xml:space="preserve">1 dentista por dia, 40 min por consulta</t>
  </si>
  <si>
    <t xml:space="preserve">Parcela das visitas com xadrez</t>
  </si>
  <si>
    <t xml:space="preserve">Xadrez e capoeira alternam a cada visita</t>
  </si>
  <si>
    <t xml:space="preserve">Crianças por turma de xadrez</t>
  </si>
  <si>
    <t xml:space="preserve">Crianças por turma de capoeira</t>
  </si>
  <si>
    <t xml:space="preserve">Parcela das visitas com sessão da psicóloga dos pais</t>
  </si>
  <si>
    <t xml:space="preserve">1 sessão a cada 2 visitas</t>
  </si>
  <si>
    <t xml:space="preserve">Parcela das sessões da psicóloga em grupo</t>
  </si>
  <si>
    <t xml:space="preserve">Alterna individual e grupo</t>
  </si>
  <si>
    <t xml:space="preserve">Pais por grupo da psicóloga</t>
  </si>
  <si>
    <t xml:space="preserve">Pais por turma de oficina</t>
  </si>
  <si>
    <t xml:space="preserve">Estimativa; funcionamento das oficinas a definir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</si>
</sst>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86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/>
      <c r="C5" s="5"/>
      <c r="D5" s="5"/>
      <c r="E5" s="5"/>
      <c r="F5" s="5"/>
      <c r="G5" s="5"/>
    </row>
    <row r="6" customFormat="false" ht="15" hidden="false" customHeight="false" outlineLevel="0" collapsed="false">
      <c r="A6" s="6" t="s">
        <v>10</v>
      </c>
      <c r="B6" s="7" t="n">
        <f aca="false">E6/Premissas!$B$3</f>
        <v>60</v>
      </c>
      <c r="C6" s="7" t="n">
        <f aca="false">E6/(Premissas!$B$3/Premissas!$B$4)</f>
        <v>300</v>
      </c>
      <c r="D6" s="7" t="n">
        <f aca="false">E6/Premissas!$B$5</f>
        <v>1230</v>
      </c>
      <c r="E6" s="7" t="n">
        <f aca="false">Premissas!$B$7*Premissas!$B$3</f>
        <v>14760</v>
      </c>
      <c r="F6" s="6" t="s">
        <v>11</v>
      </c>
    </row>
    <row r="7" customFormat="false" ht="15" hidden="false" customHeight="false" outlineLevel="0" collapsed="false">
      <c r="A7" s="4" t="s">
        <v>12</v>
      </c>
      <c r="B7" s="5"/>
      <c r="C7" s="5"/>
      <c r="D7" s="5"/>
      <c r="E7" s="5"/>
      <c r="F7" s="5"/>
      <c r="G7" s="5"/>
    </row>
    <row r="8" customFormat="false" ht="15" hidden="false" customHeight="false" outlineLevel="0" collapsed="false">
      <c r="A8" s="6" t="s">
        <v>13</v>
      </c>
      <c r="B8" s="7" t="n">
        <f aca="false">E8/Premissas!$B$3</f>
        <v>60</v>
      </c>
      <c r="C8" s="7" t="n">
        <f aca="false">E8/(Premissas!$B$3/Premissas!$B$4)</f>
        <v>300</v>
      </c>
      <c r="D8" s="7" t="n">
        <f aca="false">E8/Premissas!$B$5</f>
        <v>1230</v>
      </c>
      <c r="E8" s="7" t="n">
        <f aca="false">Premissas!$B$7*Premissas!$B$3</f>
        <v>14760</v>
      </c>
      <c r="F8" s="6" t="s">
        <v>14</v>
      </c>
    </row>
    <row r="9" customFormat="false" ht="15" hidden="false" customHeight="false" outlineLevel="0" collapsed="false">
      <c r="A9" s="8" t="s">
        <v>15</v>
      </c>
      <c r="B9" s="9" t="n">
        <f aca="false">E9/Premissas!$B$3</f>
        <v>240</v>
      </c>
      <c r="C9" s="9" t="n">
        <f aca="false">E9/(Premissas!$B$3/Premissas!$B$4)</f>
        <v>1200</v>
      </c>
      <c r="D9" s="9" t="n">
        <f aca="false">E9/Premissas!$B$5</f>
        <v>4920</v>
      </c>
      <c r="E9" s="9" t="n">
        <f aca="false">E8*Premissas!$B$8</f>
        <v>59040</v>
      </c>
      <c r="F9" s="10" t="s">
        <v>16</v>
      </c>
    </row>
    <row r="10" customFormat="false" ht="15" hidden="false" customHeight="false" outlineLevel="0" collapsed="false">
      <c r="A10" s="6" t="s">
        <v>17</v>
      </c>
      <c r="B10" s="7" t="n">
        <f aca="false">E10/Premissas!$B$3</f>
        <v>120</v>
      </c>
      <c r="C10" s="7" t="n">
        <f aca="false">E10/(Premissas!$B$3/Premissas!$B$4)</f>
        <v>600</v>
      </c>
      <c r="D10" s="7" t="n">
        <f aca="false">E10/Premissas!$B$5</f>
        <v>2460</v>
      </c>
      <c r="E10" s="7" t="n">
        <f aca="false">E9*Premissas!$B$9/60</f>
        <v>29520</v>
      </c>
      <c r="F10" s="6" t="s">
        <v>18</v>
      </c>
    </row>
    <row r="11" customFormat="false" ht="15" hidden="false" customHeight="false" outlineLevel="0" collapsed="false">
      <c r="A11" s="4" t="s">
        <v>19</v>
      </c>
      <c r="B11" s="5"/>
      <c r="C11" s="5"/>
      <c r="D11" s="5"/>
      <c r="E11" s="5"/>
      <c r="F11" s="5"/>
      <c r="G11" s="5"/>
    </row>
    <row r="12" customFormat="false" ht="15" hidden="false" customHeight="false" outlineLevel="0" collapsed="false">
      <c r="A12" s="6" t="s">
        <v>20</v>
      </c>
      <c r="B12" s="7" t="n">
        <f aca="false">E12/Premissas!$B$3</f>
        <v>42</v>
      </c>
      <c r="C12" s="7" t="n">
        <f aca="false">E12/(Premissas!$B$3/Premissas!$B$4)</f>
        <v>210</v>
      </c>
      <c r="D12" s="7" t="n">
        <f aca="false">E12/Premissas!$B$5</f>
        <v>861</v>
      </c>
      <c r="E12" s="7" t="n">
        <f aca="false">42*Premissas!$B$3</f>
        <v>10332</v>
      </c>
      <c r="F12" s="6" t="s">
        <v>21</v>
      </c>
      <c r="G12" s="11" t="n">
        <f aca="false">B12/(2*Premissas!$B$10)</f>
        <v>0.954545454545455</v>
      </c>
    </row>
    <row r="13" customFormat="false" ht="15" hidden="false" customHeight="false" outlineLevel="0" collapsed="false">
      <c r="A13" s="6" t="s">
        <v>22</v>
      </c>
      <c r="B13" s="7" t="n">
        <f aca="false">E13/Premissas!$B$3</f>
        <v>39</v>
      </c>
      <c r="C13" s="7" t="n">
        <f aca="false">E13/(Premissas!$B$3/Premissas!$B$4)</f>
        <v>195</v>
      </c>
      <c r="D13" s="7" t="n">
        <f aca="false">E13/Premissas!$B$5</f>
        <v>799.5</v>
      </c>
      <c r="E13" s="7" t="n">
        <f aca="false">39*Premissas!$B$3</f>
        <v>9594</v>
      </c>
      <c r="F13" s="6" t="s">
        <v>23</v>
      </c>
      <c r="G13" s="11" t="n">
        <f aca="false">B13/(2*Premissas!$B$10)</f>
        <v>0.886363636363636</v>
      </c>
    </row>
    <row r="14" customFormat="false" ht="15" hidden="false" customHeight="false" outlineLevel="0" collapsed="false">
      <c r="A14" s="6" t="s">
        <v>24</v>
      </c>
      <c r="B14" s="7" t="n">
        <f aca="false">E14/Premissas!$B$3</f>
        <v>39</v>
      </c>
      <c r="C14" s="7" t="n">
        <f aca="false">E14/(Premissas!$B$3/Premissas!$B$4)</f>
        <v>195</v>
      </c>
      <c r="D14" s="7" t="n">
        <f aca="false">E14/Premissas!$B$5</f>
        <v>799.5</v>
      </c>
      <c r="E14" s="7" t="n">
        <f aca="false">39*Premissas!$B$3</f>
        <v>9594</v>
      </c>
      <c r="F14" s="6" t="s">
        <v>23</v>
      </c>
      <c r="G14" s="11" t="n">
        <f aca="false">B14/(2*Premissas!$B$10)</f>
        <v>0.886363636363636</v>
      </c>
    </row>
    <row r="15" customFormat="false" ht="15" hidden="false" customHeight="false" outlineLevel="0" collapsed="false">
      <c r="A15" s="6" t="s">
        <v>25</v>
      </c>
      <c r="B15" s="7" t="n">
        <f aca="false">E15/Premissas!$B$3</f>
        <v>33</v>
      </c>
      <c r="C15" s="7" t="n">
        <f aca="false">E15/(Premissas!$B$3/Premissas!$B$4)</f>
        <v>165</v>
      </c>
      <c r="D15" s="7" t="n">
        <f aca="false">E15/Premissas!$B$5</f>
        <v>676.5</v>
      </c>
      <c r="E15" s="7" t="n">
        <f aca="false">33*Premissas!$B$3</f>
        <v>8118</v>
      </c>
      <c r="F15" s="6" t="s">
        <v>26</v>
      </c>
      <c r="G15" s="11" t="n">
        <f aca="false">B15/(2*Premissas!$B$10)</f>
        <v>0.75</v>
      </c>
    </row>
    <row r="16" customFormat="false" ht="15" hidden="false" customHeight="false" outlineLevel="0" collapsed="false">
      <c r="A16" s="6" t="s">
        <v>27</v>
      </c>
      <c r="B16" s="7" t="n">
        <f aca="false">E16/Premissas!$B$3</f>
        <v>39</v>
      </c>
      <c r="C16" s="7" t="n">
        <f aca="false">E16/(Premissas!$B$3/Premissas!$B$4)</f>
        <v>195</v>
      </c>
      <c r="D16" s="7" t="n">
        <f aca="false">E16/Premissas!$B$5</f>
        <v>799.5</v>
      </c>
      <c r="E16" s="7" t="n">
        <f aca="false">39*Premissas!$B$3</f>
        <v>9594</v>
      </c>
      <c r="F16" s="6" t="s">
        <v>23</v>
      </c>
      <c r="G16" s="11" t="n">
        <f aca="false">B16/(2*Premissas!$B$10)</f>
        <v>0.886363636363636</v>
      </c>
    </row>
    <row r="17" customFormat="false" ht="15" hidden="false" customHeight="false" outlineLevel="0" collapsed="false">
      <c r="A17" s="6" t="s">
        <v>28</v>
      </c>
      <c r="B17" s="7" t="n">
        <f aca="false">E17/Premissas!$B$3</f>
        <v>18</v>
      </c>
      <c r="C17" s="7" t="n">
        <f aca="false">E17/(Premissas!$B$3/Premissas!$B$4)</f>
        <v>90</v>
      </c>
      <c r="D17" s="7" t="n">
        <f aca="false">E17/Premissas!$B$5</f>
        <v>369</v>
      </c>
      <c r="E17" s="7" t="n">
        <f aca="false">18*Premissas!$B$3</f>
        <v>4428</v>
      </c>
      <c r="F17" s="6" t="s">
        <v>29</v>
      </c>
      <c r="G17" s="11" t="n">
        <f aca="false">B17/(1*Premissas!$B$10)</f>
        <v>0.818181818181818</v>
      </c>
    </row>
    <row r="18" customFormat="false" ht="15" hidden="false" customHeight="false" outlineLevel="0" collapsed="false">
      <c r="A18" s="6" t="s">
        <v>30</v>
      </c>
      <c r="B18" s="7" t="n">
        <f aca="false">E18/Premissas!$B$3</f>
        <v>30</v>
      </c>
      <c r="C18" s="7" t="n">
        <f aca="false">E18/(Premissas!$B$3/Premissas!$B$4)</f>
        <v>150</v>
      </c>
      <c r="D18" s="7" t="n">
        <f aca="false">E18/Premissas!$B$5</f>
        <v>615</v>
      </c>
      <c r="E18" s="7" t="n">
        <f aca="false">30*Premissas!$B$3</f>
        <v>7380</v>
      </c>
      <c r="F18" s="6" t="s">
        <v>31</v>
      </c>
      <c r="G18" s="11" t="n">
        <f aca="false">B18/(2*Premissas!$B$10)</f>
        <v>0.681818181818182</v>
      </c>
    </row>
    <row r="19" customFormat="false" ht="15" hidden="false" customHeight="false" outlineLevel="0" collapsed="false">
      <c r="A19" s="6" t="s">
        <v>32</v>
      </c>
      <c r="B19" s="7" t="n">
        <f aca="false">E19/Premissas!$B$3</f>
        <v>240</v>
      </c>
      <c r="C19" s="7" t="n">
        <f aca="false">E19/(Premissas!$B$3/Premissas!$B$4)</f>
        <v>1200</v>
      </c>
      <c r="D19" s="7" t="n">
        <f aca="false">E19/Premissas!$B$5</f>
        <v>4920</v>
      </c>
      <c r="E19" s="7" t="n">
        <f aca="false">SUM(E12:E18)</f>
        <v>59040</v>
      </c>
      <c r="F19" s="6" t="s">
        <v>33</v>
      </c>
    </row>
    <row r="20" customFormat="false" ht="15" hidden="false" customHeight="false" outlineLevel="0" collapsed="false">
      <c r="A20" s="4" t="s">
        <v>34</v>
      </c>
      <c r="B20" s="5"/>
      <c r="C20" s="5"/>
      <c r="D20" s="5"/>
      <c r="E20" s="5"/>
      <c r="F20" s="5"/>
      <c r="G20" s="5"/>
    </row>
    <row r="21" customFormat="false" ht="26.85" hidden="false" customHeight="false" outlineLevel="0" collapsed="false">
      <c r="A21" s="6" t="s">
        <v>35</v>
      </c>
      <c r="B21" s="7" t="n">
        <f aca="false">E21/Premissas!$B$3</f>
        <v>2.34146341463415</v>
      </c>
      <c r="C21" s="7" t="n">
        <f aca="false">E21/(Premissas!$B$3/Premissas!$B$4)</f>
        <v>11.7073170731707</v>
      </c>
      <c r="D21" s="7" t="n">
        <f aca="false">E21/Premissas!$B$5</f>
        <v>48</v>
      </c>
      <c r="E21" s="7" t="n">
        <f aca="false">Premissas!$B$11*Premissas!$B$12</f>
        <v>576</v>
      </c>
      <c r="F21" s="6" t="s">
        <v>36</v>
      </c>
    </row>
    <row r="22" customFormat="false" ht="15" hidden="false" customHeight="false" outlineLevel="0" collapsed="false">
      <c r="A22" s="6" t="s">
        <v>37</v>
      </c>
      <c r="B22" s="7" t="n">
        <f aca="false">E22/Premissas!$B$3</f>
        <v>3.65853658536585</v>
      </c>
      <c r="C22" s="7" t="n">
        <f aca="false">E22/(Premissas!$B$3/Premissas!$B$4)</f>
        <v>18.2926829268293</v>
      </c>
      <c r="D22" s="7" t="n">
        <f aca="false">E22/Premissas!$B$5</f>
        <v>75</v>
      </c>
      <c r="E22" s="7" t="n">
        <f aca="false">Premissas!$B$6*Premissas!$B$13</f>
        <v>900</v>
      </c>
      <c r="F22" s="6" t="s">
        <v>38</v>
      </c>
    </row>
    <row r="23" customFormat="false" ht="15" hidden="false" customHeight="false" outlineLevel="0" collapsed="false">
      <c r="A23" s="6" t="s">
        <v>39</v>
      </c>
      <c r="B23" s="7" t="n">
        <f aca="false">E23/Premissas!$B$3</f>
        <v>30</v>
      </c>
      <c r="C23" s="7" t="n">
        <f aca="false">E23/(Premissas!$B$3/Premissas!$B$4)</f>
        <v>150</v>
      </c>
      <c r="D23" s="7" t="n">
        <f aca="false">E23/Premissas!$B$5</f>
        <v>615</v>
      </c>
      <c r="E23" s="7" t="n">
        <f aca="false">Premissas!$B$7*Premissas!$B$15*Premissas!$B$3</f>
        <v>7380</v>
      </c>
      <c r="F23" s="6" t="s">
        <v>40</v>
      </c>
    </row>
    <row r="24" customFormat="false" ht="15" hidden="false" customHeight="false" outlineLevel="0" collapsed="false">
      <c r="A24" s="6" t="s">
        <v>41</v>
      </c>
      <c r="B24" s="7" t="n">
        <f aca="false">E24/Premissas!$B$3</f>
        <v>5</v>
      </c>
      <c r="C24" s="7" t="n">
        <f aca="false">E24/(Premissas!$B$3/Premissas!$B$4)</f>
        <v>25</v>
      </c>
      <c r="D24" s="7" t="n">
        <f aca="false">E24/Premissas!$B$5</f>
        <v>102.5</v>
      </c>
      <c r="E24" s="7" t="n">
        <f aca="false">ROUNDUP(Premissas!$B$7*Premissas!$B$15/Premissas!$B$16,0)*Premissas!$B$3</f>
        <v>1230</v>
      </c>
      <c r="F24" s="6" t="s">
        <v>42</v>
      </c>
    </row>
    <row r="25" customFormat="false" ht="15" hidden="false" customHeight="false" outlineLevel="0" collapsed="false">
      <c r="A25" s="6" t="s">
        <v>43</v>
      </c>
      <c r="B25" s="7" t="n">
        <f aca="false">E25/Premissas!$B$3</f>
        <v>30</v>
      </c>
      <c r="C25" s="7" t="n">
        <f aca="false">E25/(Premissas!$B$3/Premissas!$B$4)</f>
        <v>150</v>
      </c>
      <c r="D25" s="7" t="n">
        <f aca="false">E25/Premissas!$B$5</f>
        <v>615</v>
      </c>
      <c r="E25" s="7" t="n">
        <f aca="false">Premissas!$B$7*(1-Premissas!$B$15)*Premissas!$B$3</f>
        <v>7380</v>
      </c>
      <c r="F25" s="6" t="s">
        <v>44</v>
      </c>
    </row>
    <row r="26" customFormat="false" ht="15" hidden="false" customHeight="false" outlineLevel="0" collapsed="false">
      <c r="A26" s="6" t="s">
        <v>45</v>
      </c>
      <c r="B26" s="7" t="n">
        <f aca="false">E26/Premissas!$B$3</f>
        <v>3</v>
      </c>
      <c r="C26" s="7" t="n">
        <f aca="false">E26/(Premissas!$B$3/Premissas!$B$4)</f>
        <v>15</v>
      </c>
      <c r="D26" s="7" t="n">
        <f aca="false">E26/Premissas!$B$5</f>
        <v>61.5</v>
      </c>
      <c r="E26" s="7" t="n">
        <f aca="false">ROUNDUP(Premissas!$B$7*(1-Premissas!$B$15)/Premissas!$B$17,0)*Premissas!$B$3</f>
        <v>738</v>
      </c>
      <c r="F26" s="6" t="s">
        <v>46</v>
      </c>
    </row>
    <row r="27" customFormat="false" ht="15" hidden="false" customHeight="false" outlineLevel="0" collapsed="false">
      <c r="A27" s="6" t="s">
        <v>47</v>
      </c>
      <c r="B27" s="7" t="n">
        <f aca="false">E27/Premissas!$B$3</f>
        <v>15</v>
      </c>
      <c r="C27" s="7" t="n">
        <f aca="false">E27/(Premissas!$B$3/Premissas!$B$4)</f>
        <v>75</v>
      </c>
      <c r="D27" s="7" t="n">
        <f aca="false">E27/Premissas!$B$5</f>
        <v>307.5</v>
      </c>
      <c r="E27" s="7" t="n">
        <f aca="false">Premissas!$B$7*Premissas!$B$18*(1-Premissas!$B$19)*Premissas!$B$3</f>
        <v>3690</v>
      </c>
      <c r="F27" s="6" t="s">
        <v>48</v>
      </c>
    </row>
    <row r="28" customFormat="false" ht="15" hidden="false" customHeight="false" outlineLevel="0" collapsed="false">
      <c r="A28" s="6" t="s">
        <v>49</v>
      </c>
      <c r="B28" s="7" t="n">
        <f aca="false">E28/Premissas!$B$3</f>
        <v>15</v>
      </c>
      <c r="C28" s="7" t="n">
        <f aca="false">E28/(Premissas!$B$3/Premissas!$B$4)</f>
        <v>75</v>
      </c>
      <c r="D28" s="7" t="n">
        <f aca="false">E28/Premissas!$B$5</f>
        <v>307.5</v>
      </c>
      <c r="E28" s="7" t="n">
        <f aca="false">Premissas!$B$7*Premissas!$B$18*Premissas!$B$19*Premissas!$B$3</f>
        <v>3690</v>
      </c>
      <c r="F28" s="6" t="s">
        <v>50</v>
      </c>
    </row>
    <row r="29" customFormat="false" ht="15" hidden="false" customHeight="false" outlineLevel="0" collapsed="false">
      <c r="A29" s="6" t="s">
        <v>51</v>
      </c>
      <c r="B29" s="7" t="n">
        <f aca="false">E29/Premissas!$B$3</f>
        <v>2</v>
      </c>
      <c r="C29" s="7" t="n">
        <f aca="false">E29/(Premissas!$B$3/Premissas!$B$4)</f>
        <v>10</v>
      </c>
      <c r="D29" s="7" t="n">
        <f aca="false">E29/Premissas!$B$5</f>
        <v>41</v>
      </c>
      <c r="E29" s="7" t="n">
        <f aca="false">ROUNDUP(Premissas!$B$7*Premissas!$B$18*Premissas!$B$19/Premissas!$B$20,0)*Premissas!$B$3</f>
        <v>492</v>
      </c>
      <c r="F29" s="6" t="s">
        <v>52</v>
      </c>
    </row>
    <row r="30" customFormat="false" ht="15" hidden="false" customHeight="false" outlineLevel="0" collapsed="false">
      <c r="A30" s="6" t="s">
        <v>53</v>
      </c>
      <c r="B30" s="7" t="n">
        <f aca="false">E30/Premissas!$B$3</f>
        <v>30</v>
      </c>
      <c r="C30" s="7" t="n">
        <f aca="false">E30/(Premissas!$B$3/Premissas!$B$4)</f>
        <v>150</v>
      </c>
      <c r="D30" s="7" t="n">
        <f aca="false">E30/Premissas!$B$5</f>
        <v>615</v>
      </c>
      <c r="E30" s="7" t="n">
        <f aca="false">Premissas!$B$7*(1-Premissas!$B$18)*Premissas!$B$3</f>
        <v>7380</v>
      </c>
      <c r="F30" s="6" t="s">
        <v>54</v>
      </c>
    </row>
    <row r="31" customFormat="false" ht="15" hidden="false" customHeight="false" outlineLevel="0" collapsed="false">
      <c r="A31" s="6" t="s">
        <v>55</v>
      </c>
      <c r="B31" s="7" t="n">
        <f aca="false">E31/Premissas!$B$3</f>
        <v>3</v>
      </c>
      <c r="C31" s="7" t="n">
        <f aca="false">E31/(Premissas!$B$3/Premissas!$B$4)</f>
        <v>15</v>
      </c>
      <c r="D31" s="7" t="n">
        <f aca="false">E31/Premissas!$B$5</f>
        <v>61.5</v>
      </c>
      <c r="E31" s="7" t="n">
        <f aca="false">ROUNDUP(Premissas!$B$7*(1-Premissas!$B$18)/Premissas!$B$21,0)*Premissas!$B$3</f>
        <v>738</v>
      </c>
      <c r="F31" s="6" t="s">
        <v>56</v>
      </c>
    </row>
    <row r="32" customFormat="false" ht="15" hidden="false" customHeight="false" outlineLevel="0" collapsed="false">
      <c r="A32" s="4" t="s">
        <v>57</v>
      </c>
      <c r="B32" s="5"/>
      <c r="C32" s="5"/>
      <c r="D32" s="5"/>
      <c r="E32" s="5"/>
      <c r="F32" s="5"/>
      <c r="G32" s="5"/>
    </row>
    <row r="33" customFormat="false" ht="26.85" hidden="false" customHeight="false" outlineLevel="0" collapsed="false">
      <c r="A33" s="8" t="s">
        <v>58</v>
      </c>
      <c r="B33" s="9" t="n">
        <f aca="false">E33/Premissas!$B$3</f>
        <v>366</v>
      </c>
      <c r="C33" s="9" t="n">
        <f aca="false">E33/(Premissas!$B$3/Premissas!$B$4)</f>
        <v>1830</v>
      </c>
      <c r="D33" s="9" t="n">
        <f aca="false">E33/Premissas!$B$5</f>
        <v>7503</v>
      </c>
      <c r="E33" s="9" t="n">
        <f aca="false">E9+E21+E22+E23+E25+E27+E28+E30</f>
        <v>90036</v>
      </c>
      <c r="F33" s="10" t="s">
        <v>59</v>
      </c>
    </row>
    <row r="35" customFormat="false" ht="15" hidden="false" customHeight="false" outlineLevel="0" collapsed="false">
      <c r="A35" s="12" t="s">
        <v>60</v>
      </c>
    </row>
    <row r="36" customFormat="false" ht="15" hidden="false" customHeight="false" outlineLevel="0" collapsed="false">
      <c r="A36" s="2" t="s">
        <v>61</v>
      </c>
    </row>
    <row r="37" customFormat="false" ht="15" hidden="false" customHeight="false" outlineLevel="0" collapsed="false">
      <c r="A37" s="2" t="s">
        <v>62</v>
      </c>
    </row>
    <row r="38" customFormat="false" ht="15" hidden="false" customHeight="false" outlineLevel="0" collapsed="false">
      <c r="A38" s="2" t="s">
        <v>63</v>
      </c>
    </row>
    <row r="39" customFormat="false" ht="15" hidden="false" customHeight="false" outlineLevel="0" collapsed="false">
      <c r="A39" s="2" t="s">
        <v>64</v>
      </c>
    </row>
    <row r="40" customFormat="false" ht="15" hidden="false" customHeight="false" outlineLevel="0" collapsed="false">
      <c r="A40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88"/>
  </cols>
  <sheetData>
    <row r="1" customFormat="false" ht="17.35" hidden="false" customHeight="false" outlineLevel="0" collapsed="false">
      <c r="A1" s="1" t="s">
        <v>66</v>
      </c>
    </row>
    <row r="3" customFormat="false" ht="15" hidden="false" customHeight="false" outlineLevel="0" collapsed="false">
      <c r="A3" s="13" t="s">
        <v>67</v>
      </c>
      <c r="B3" s="14" t="n">
        <v>246</v>
      </c>
      <c r="C3" s="13" t="s">
        <v>68</v>
      </c>
    </row>
    <row r="4" customFormat="false" ht="15" hidden="false" customHeight="false" outlineLevel="0" collapsed="false">
      <c r="A4" s="13" t="s">
        <v>69</v>
      </c>
      <c r="B4" s="14" t="n">
        <v>5</v>
      </c>
      <c r="C4" s="13" t="s">
        <v>70</v>
      </c>
    </row>
    <row r="5" customFormat="false" ht="15" hidden="false" customHeight="false" outlineLevel="0" collapsed="false">
      <c r="A5" s="13" t="s">
        <v>71</v>
      </c>
      <c r="B5" s="14" t="n">
        <v>12</v>
      </c>
      <c r="C5" s="13"/>
    </row>
    <row r="6" customFormat="false" ht="15" hidden="false" customHeight="false" outlineLevel="0" collapsed="false">
      <c r="A6" s="13" t="s">
        <v>72</v>
      </c>
      <c r="B6" s="14" t="n">
        <v>300</v>
      </c>
      <c r="C6" s="13" t="s">
        <v>73</v>
      </c>
    </row>
    <row r="7" customFormat="false" ht="15" hidden="false" customHeight="false" outlineLevel="0" collapsed="false">
      <c r="A7" s="13" t="s">
        <v>74</v>
      </c>
      <c r="B7" s="14" t="n">
        <v>60</v>
      </c>
      <c r="C7" s="13" t="s">
        <v>75</v>
      </c>
    </row>
    <row r="8" customFormat="false" ht="15" hidden="false" customHeight="false" outlineLevel="0" collapsed="false">
      <c r="A8" s="13" t="s">
        <v>76</v>
      </c>
      <c r="B8" s="14" t="n">
        <v>4</v>
      </c>
      <c r="C8" s="13" t="s">
        <v>77</v>
      </c>
    </row>
    <row r="9" customFormat="false" ht="15" hidden="false" customHeight="false" outlineLevel="0" collapsed="false">
      <c r="A9" s="13" t="s">
        <v>78</v>
      </c>
      <c r="B9" s="14" t="n">
        <v>30</v>
      </c>
      <c r="C9" s="13"/>
    </row>
    <row r="10" customFormat="false" ht="15" hidden="false" customHeight="false" outlineLevel="0" collapsed="false">
      <c r="A10" s="13" t="s">
        <v>79</v>
      </c>
      <c r="B10" s="14" t="n">
        <v>22</v>
      </c>
      <c r="C10" s="13" t="s">
        <v>80</v>
      </c>
    </row>
    <row r="11" customFormat="false" ht="15" hidden="false" customHeight="false" outlineLevel="0" collapsed="false">
      <c r="A11" s="13" t="s">
        <v>81</v>
      </c>
      <c r="B11" s="14" t="n">
        <v>16</v>
      </c>
      <c r="C11" s="13" t="s">
        <v>82</v>
      </c>
    </row>
    <row r="12" customFormat="false" ht="15" hidden="false" customHeight="false" outlineLevel="0" collapsed="false">
      <c r="A12" s="13" t="s">
        <v>83</v>
      </c>
      <c r="B12" s="14" t="n">
        <v>36</v>
      </c>
      <c r="C12" s="13" t="s">
        <v>84</v>
      </c>
    </row>
    <row r="13" customFormat="false" ht="15" hidden="false" customHeight="false" outlineLevel="0" collapsed="false">
      <c r="A13" s="13" t="s">
        <v>85</v>
      </c>
      <c r="B13" s="14" t="n">
        <v>3</v>
      </c>
      <c r="C13" s="13" t="s">
        <v>86</v>
      </c>
    </row>
    <row r="14" customFormat="false" ht="15" hidden="false" customHeight="false" outlineLevel="0" collapsed="false">
      <c r="A14" s="13" t="s">
        <v>87</v>
      </c>
      <c r="B14" s="14" t="n">
        <v>16</v>
      </c>
      <c r="C14" s="13" t="s">
        <v>88</v>
      </c>
    </row>
    <row r="15" customFormat="false" ht="15" hidden="false" customHeight="false" outlineLevel="0" collapsed="false">
      <c r="A15" s="13" t="s">
        <v>89</v>
      </c>
      <c r="B15" s="15" t="n">
        <v>0.5</v>
      </c>
      <c r="C15" s="13" t="s">
        <v>90</v>
      </c>
    </row>
    <row r="16" customFormat="false" ht="15" hidden="false" customHeight="false" outlineLevel="0" collapsed="false">
      <c r="A16" s="13" t="s">
        <v>91</v>
      </c>
      <c r="B16" s="14" t="n">
        <v>6</v>
      </c>
      <c r="C16" s="13"/>
    </row>
    <row r="17" customFormat="false" ht="15" hidden="false" customHeight="false" outlineLevel="0" collapsed="false">
      <c r="A17" s="13" t="s">
        <v>92</v>
      </c>
      <c r="B17" s="14" t="n">
        <v>10</v>
      </c>
      <c r="C17" s="13"/>
    </row>
    <row r="18" customFormat="false" ht="15" hidden="false" customHeight="false" outlineLevel="0" collapsed="false">
      <c r="A18" s="13" t="s">
        <v>93</v>
      </c>
      <c r="B18" s="15" t="n">
        <v>0.5</v>
      </c>
      <c r="C18" s="13" t="s">
        <v>94</v>
      </c>
    </row>
    <row r="19" customFormat="false" ht="15" hidden="false" customHeight="false" outlineLevel="0" collapsed="false">
      <c r="A19" s="13" t="s">
        <v>95</v>
      </c>
      <c r="B19" s="15" t="n">
        <v>0.5</v>
      </c>
      <c r="C19" s="13" t="s">
        <v>96</v>
      </c>
    </row>
    <row r="20" customFormat="false" ht="15" hidden="false" customHeight="false" outlineLevel="0" collapsed="false">
      <c r="A20" s="13" t="s">
        <v>97</v>
      </c>
      <c r="B20" s="14" t="n">
        <v>8</v>
      </c>
      <c r="C20" s="13"/>
    </row>
    <row r="21" customFormat="false" ht="15" hidden="false" customHeight="false" outlineLevel="0" collapsed="false">
      <c r="A21" s="13" t="s">
        <v>98</v>
      </c>
      <c r="B21" s="14" t="n">
        <v>10</v>
      </c>
      <c r="C21" s="13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2026-10-22T16:33:17Z</dcterms:created>
  <dc:creator>openpyxl</dc:creator>
  <dc:description/>
  <dc:language>en-US</dc:language>
  <cp:lastModifiedBy/>
  <dcterms:modified xsi:type="dcterms:W3CDTF">2026-10-22T16:33:17Z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