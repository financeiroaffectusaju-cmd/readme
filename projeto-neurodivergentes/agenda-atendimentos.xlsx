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mparativo" sheetId="2" state="visible" r:id="rId4"/>
    <sheet name="Calendário" sheetId="3" state="visible" r:id="rId5"/>
    <sheet name="Grade do dia" sheetId="4" state="visible" r:id="rId6"/>
    <sheet name="Blocos" sheetId="5" state="visible" r:id="rId7"/>
    <sheet name="Semanal 16 sessões" sheetId="6" state="visible" r:id="rId8"/>
    <sheet name="Serviços extras" sheetId="7" state="visible" r:id="rId9"/>
    <sheet name="Equipe e turn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<sst xmlns="http://schemas.openxmlformats.org/spreadsheetml/2006/main" count="1511" uniqueCount="840">
  <si>
    <t xml:space="preserve">Instituto Affectus – plano adotado: 16 sessões por mês, 1 visita de 2 h por semana</t>
  </si>
  <si>
    <t xml:space="preserve">Decisão da gestora em 22/10/2026 (Opção 2). Azul = premissa editável; o restante é calculado.</t>
  </si>
  <si>
    <t xml:space="preserve">Premissa</t>
  </si>
  <si>
    <t xml:space="preserve">Valor</t>
  </si>
  <si>
    <t xml:space="preserve">Observação</t>
  </si>
  <si>
    <t xml:space="preserve">Dias de atendimento por ano</t>
  </si>
  <si>
    <t xml:space="preserve">Ver aba Calendário</t>
  </si>
  <si>
    <t xml:space="preserve">Horário de funcionamento</t>
  </si>
  <si>
    <t xml:space="preserve">07h–19h</t>
  </si>
  <si>
    <t xml:space="preserve">Seg–sex; almoço 12h–13h</t>
  </si>
  <si>
    <t xml:space="preserve">Formato das sessões</t>
  </si>
  <si>
    <t xml:space="preserve">4 × 30 min</t>
  </si>
  <si>
    <t xml:space="preserve">Todas de 30 min, horários seguidos, 2 h por visita</t>
  </si>
  <si>
    <t xml:space="preserve">Sessões de terapia por criança a cada 4 semanas</t>
  </si>
  <si>
    <t xml:space="preserve">Decisão de 22/10/2026 (antes 24); xadrez, capoeira, oficinas, médicos e odontologia são extras</t>
  </si>
  <si>
    <t xml:space="preserve">Sessões por visita</t>
  </si>
  <si>
    <t xml:space="preserve">3 ou 4 especialidades; modelo usa 4</t>
  </si>
  <si>
    <t xml:space="preserve">Visitas por criança a cada 4 semanas</t>
  </si>
  <si>
    <t xml:space="preserve">1 visita por semana, sempre no mesmo dia, horário, bloco e sala</t>
  </si>
  <si>
    <t xml:space="preserve">Dias úteis por semana</t>
  </si>
  <si>
    <t xml:space="preserve">Cada bloco recebe 1 criança por dia da semana</t>
  </si>
  <si>
    <t xml:space="preserve">Blocos de visita por dia</t>
  </si>
  <si>
    <t xml:space="preserve">Comprovado por solver: 60 visitas/dia cabem com horários seguidos e vagas das salas</t>
  </si>
  <si>
    <t xml:space="preserve">Horas de terapia por criança a cada 4 semanas</t>
  </si>
  <si>
    <t xml:space="preserve">16 sessões × 30 min</t>
  </si>
  <si>
    <t xml:space="preserve">Cenários</t>
  </si>
  <si>
    <t xml:space="preserve">Indicador</t>
  </si>
  <si>
    <t xml:space="preserve">Cenário 1: 100% de ocupação</t>
  </si>
  <si>
    <t xml:space="preserve">Cenário 2: 90% (10% reposição)</t>
  </si>
  <si>
    <t xml:space="preserve">Blocos livres por dia (reposição)</t>
  </si>
  <si>
    <t xml:space="preserve">Visitas por dia</t>
  </si>
  <si>
    <t xml:space="preserve">Crianças com pacote completo</t>
  </si>
  <si>
    <t xml:space="preserve">Ocupação dos blocos</t>
  </si>
  <si>
    <t xml:space="preserve">Sessões de 30 min por dia</t>
  </si>
  <si>
    <t xml:space="preserve">Sessões de terapia por ano da clínica</t>
  </si>
  <si>
    <t xml:space="preserve">Sessões de terapia por criança por ano</t>
  </si>
  <si>
    <t xml:space="preserve">Crianças com 1ª consulta de cada médico (1 dia/mês, 192 por médico/ano)</t>
  </si>
  <si>
    <t xml:space="preserve">Horário da criança</t>
  </si>
  <si>
    <t xml:space="preserve">Fixo: mesmo dia, horário, sala e ordem</t>
  </si>
  <si>
    <t xml:space="preserve">Notas</t>
  </si>
  <si>
    <t xml:space="preserve">Cada bloco de 2 h recebe 1 criança por dia da semana (5 por semana); a criança volta sempre no mesmo dia, horário e sala. Grade nominal na aba Semanal 16 sessões.</t>
  </si>
  <si>
    <t xml:space="preserve">Cenário 2: 30 vagas por semana (6 por dia) ficam livres para reposição, sem horário fixo reservado. No Cenário 1 elas são ocupadas por C271–C300 e não sobra vaga para reposição.</t>
  </si>
  <si>
    <t xml:space="preserve">Teste de encaixe: 60 visitas por dia comprovadas pelo solver; mais de 62 não foram provadas nem descartadas. Tetos teóricos calculados antes da grade não foram obtidos na grade real.</t>
  </si>
  <si>
    <t xml:space="preserve">Pacotes-modelo (aba Grade do dia) são ilustrativos; a composição real depende da triagem. Todos têm pelo menos 2 entre Psicologia, TO e Fono.</t>
  </si>
  <si>
    <t xml:space="preserve">Feriado que cai no dia da semana de uma criança faz ela perder a visita daquela semana; usar as vagas livres para repor.</t>
  </si>
  <si>
    <t xml:space="preserve">Consulta médica: 1 dia por mês por médico cobre cerca de 64% (300 crianças) a 71% (270 crianças) das crianças na primeira consulta; seriam necessários cerca de 1,6 dia por mês por médico.</t>
  </si>
  <si>
    <t xml:space="preserve">As opções avaliadas e descartadas (24 sessões a cada 2 semanas e 24 sessões semanais de 3 h) estão na aba Comparativo.</t>
  </si>
  <si>
    <t xml:space="preserve">Opções avaliadas (Opção 2 adotada em 22/10/2026)</t>
  </si>
  <si>
    <t xml:space="preserve">Azul = valor informado; preto = calculado. Só a Opção 2 (adotada) tem grade nominal; as outras são comparação de capacidade. Valores da Opção 1 informados manualmente.</t>
  </si>
  <si>
    <t xml:space="preserve">Opção 1: 24 sessões, 3 visitas a cada 2 semanas</t>
  </si>
  <si>
    <t xml:space="preserve">Opção 2 (ADOTADA): 16 sessões, 1 visita por semana</t>
  </si>
  <si>
    <t xml:space="preserve">Referência: 24 sessões, 1 visita por semana de 3 h</t>
  </si>
  <si>
    <t xml:space="preserve">Duração da visita (horas)</t>
  </si>
  <si>
    <t xml:space="preserve">Visitas por dia (blocos de visita)</t>
  </si>
  <si>
    <t xml:space="preserve">Crianças a 100% de ocupação</t>
  </si>
  <si>
    <t xml:space="preserve">Blocos livres por dia no cenário de 10% de reposição</t>
  </si>
  <si>
    <t xml:space="preserve">Crianças com 10% de reposição</t>
  </si>
  <si>
    <t xml:space="preserve">Crianças com horário totalmente fixo (100%)</t>
  </si>
  <si>
    <t xml:space="preserve">Sessões de terapia por ano da clínica (100%)</t>
  </si>
  <si>
    <t xml:space="preserve">Crianças com 1ª consulta de cada médico em 1 dia/mês (192 por médico/ano)</t>
  </si>
  <si>
    <t xml:space="preserve">Dias de consulta por mês, por médico, para atender todas as crianças</t>
  </si>
  <si>
    <t xml:space="preserve">As Opções 1 e 2 usam a mesma grade do dia (60 blocos); só muda quantas crianças passam por cada bloco.</t>
  </si>
  <si>
    <t xml:space="preserve">Opção 2 (adotada): cada bloco recebe 1 criança por dia da semana (5 por semana). Com 16 sessões por mês, cada criança tem 8 horas de terapia por mês, contra 12 horas nas outras opções.</t>
  </si>
  <si>
    <t xml:space="preserve">A clínica entrega o mesmo número de sessões por ano nas Opções 1 e 2; a diferença é atender mais crianças com menos sessões cada.</t>
  </si>
  <si>
    <t xml:space="preserve">Opção de referência (3 h por semana): 38 visitas por dia comprovadas na grade; 40 não foi concluído pelo solver. Sem grade nominal.</t>
  </si>
  <si>
    <t xml:space="preserve">Consultas médicas: o limite de 1 dia por mês por médico cobre bem a Opção 1, mas só cerca de 64% das crianças na Opção 2.</t>
  </si>
  <si>
    <t xml:space="preserve">Calendário de funcionamento – jul/2026 a jun/2027 (Aracaju/SE)</t>
  </si>
  <si>
    <t xml:space="preserve">Mês</t>
  </si>
  <si>
    <t xml:space="preserve">Dias de funcionamento</t>
  </si>
  <si>
    <t xml:space="preserve">Feriados descontados</t>
  </si>
  <si>
    <t xml:space="preserve">Jul/2026</t>
  </si>
  <si>
    <t xml:space="preserve">Data</t>
  </si>
  <si>
    <t xml:space="preserve">Dia</t>
  </si>
  <si>
    <t xml:space="preserve">Feriado</t>
  </si>
  <si>
    <t xml:space="preserve">Ago/2026</t>
  </si>
  <si>
    <t xml:space="preserve">08/07/2026</t>
  </si>
  <si>
    <t xml:space="preserve">Qua</t>
  </si>
  <si>
    <t xml:space="preserve">Emancipação Política de Sergipe (estadual)</t>
  </si>
  <si>
    <t xml:space="preserve">Set/2026</t>
  </si>
  <si>
    <t xml:space="preserve">07/09/2026</t>
  </si>
  <si>
    <t xml:space="preserve">Seg</t>
  </si>
  <si>
    <t xml:space="preserve">Independência (nacional)</t>
  </si>
  <si>
    <t xml:space="preserve">Out/2026</t>
  </si>
  <si>
    <t xml:space="preserve">12/10/2026</t>
  </si>
  <si>
    <t xml:space="preserve">N. Sra. Aparecida (nacional)</t>
  </si>
  <si>
    <t xml:space="preserve">Nov/2026</t>
  </si>
  <si>
    <t xml:space="preserve">02/11/2026</t>
  </si>
  <si>
    <t xml:space="preserve">Finados (nacional)</t>
  </si>
  <si>
    <t xml:space="preserve">Dez/2026</t>
  </si>
  <si>
    <t xml:space="preserve">20/11/2026</t>
  </si>
  <si>
    <t xml:space="preserve">Sex</t>
  </si>
  <si>
    <t xml:space="preserve">Consciência Negra (nacional)</t>
  </si>
  <si>
    <t xml:space="preserve">Jan/2027</t>
  </si>
  <si>
    <t xml:space="preserve">08/12/2026</t>
  </si>
  <si>
    <t xml:space="preserve">Ter</t>
  </si>
  <si>
    <t xml:space="preserve">N. Sra. da Conceição (municipal Aracaju) – conferir decreto</t>
  </si>
  <si>
    <t xml:space="preserve">Fev/2027</t>
  </si>
  <si>
    <t xml:space="preserve">25/12/2026</t>
  </si>
  <si>
    <t xml:space="preserve">Natal (nacional)</t>
  </si>
  <si>
    <t xml:space="preserve">Mar/2027</t>
  </si>
  <si>
    <t xml:space="preserve">01/01/2027</t>
  </si>
  <si>
    <t xml:space="preserve">Confraternização Universal (nacional)</t>
  </si>
  <si>
    <t xml:space="preserve">Abr/2027</t>
  </si>
  <si>
    <t xml:space="preserve">08/02/2027</t>
  </si>
  <si>
    <t xml:space="preserve">Carnaval (ponto facultativo)</t>
  </si>
  <si>
    <t xml:space="preserve">Mai/2027</t>
  </si>
  <si>
    <t xml:space="preserve">09/02/2027</t>
  </si>
  <si>
    <t xml:space="preserve">Jun/2027</t>
  </si>
  <si>
    <t xml:space="preserve">17/03/2027</t>
  </si>
  <si>
    <t xml:space="preserve">Aniversário de Aracaju (municipal)</t>
  </si>
  <si>
    <t xml:space="preserve">Total no ano</t>
  </si>
  <si>
    <t xml:space="preserve">26/03/2027</t>
  </si>
  <si>
    <t xml:space="preserve">Sexta-feira Santa (nacional)</t>
  </si>
  <si>
    <t xml:space="preserve">21/04/2027</t>
  </si>
  <si>
    <t xml:space="preserve">Tiradentes (nacional)</t>
  </si>
  <si>
    <t xml:space="preserve">Base: 261 dias úteis seg–sex no período, menos 15 feriados em dia útil. Itens marcados 'conferir decreto' dependem do decreto oficial da Prefeitura.</t>
  </si>
  <si>
    <t xml:space="preserve">27/05/2027</t>
  </si>
  <si>
    <t xml:space="preserve">Qui</t>
  </si>
  <si>
    <t xml:space="preserve">Corpus Christi (confirmado: sem atendimento)</t>
  </si>
  <si>
    <t xml:space="preserve">São João (24/06/2027) funciona? (S/N)</t>
  </si>
  <si>
    <t xml:space="preserve">N</t>
  </si>
  <si>
    <t xml:space="preserve">24/06/2027</t>
  </si>
  <si>
    <t xml:space="preserve">São João (municipal Aracaju) – EM ABERTO: ver célula B19</t>
  </si>
  <si>
    <t xml:space="preserve">Decisão em aberto: com 'N' o dia é descontado (246 dias); com 'S' o total passa para 247.</t>
  </si>
  <si>
    <t xml:space="preserve">Grade do dia (igual de segunda a sexta) – 60 blocos de visita</t>
  </si>
  <si>
    <t xml:space="preserve">Cada célula mostra o bloco (B01…B60) que ocupa aquela vaga naquele horário. Cor = pacote-modelo.</t>
  </si>
  <si>
    <t xml:space="preserve">Horário</t>
  </si>
  <si>
    <t xml:space="preserve">Psicologia
vaga 1</t>
  </si>
  <si>
    <t xml:space="preserve">Psicologia
vaga 2</t>
  </si>
  <si>
    <t xml:space="preserve">Terapia Ocupacional
vaga 1</t>
  </si>
  <si>
    <t xml:space="preserve">Terapia Ocupacional
vaga 2</t>
  </si>
  <si>
    <t xml:space="preserve">Fonoaudiologia
vaga 1</t>
  </si>
  <si>
    <t xml:space="preserve">Fonoaudiologia
vaga 2</t>
  </si>
  <si>
    <t xml:space="preserve">Psicopedagogia
vaga 1</t>
  </si>
  <si>
    <t xml:space="preserve">Psicopedagogia
vaga 2</t>
  </si>
  <si>
    <t xml:space="preserve">Psicomotricidade
vaga 1</t>
  </si>
  <si>
    <t xml:space="preserve">Psicomotricidade
vaga 2</t>
  </si>
  <si>
    <t xml:space="preserve">Musicoterapia</t>
  </si>
  <si>
    <t xml:space="preserve">Terapia alimentar
vaga 1</t>
  </si>
  <si>
    <t xml:space="preserve">Terapia alimentar
vaga 2</t>
  </si>
  <si>
    <t xml:space="preserve">07:00–07:30</t>
  </si>
  <si>
    <t xml:space="preserve">B01</t>
  </si>
  <si>
    <t xml:space="preserve">B04</t>
  </si>
  <si>
    <t xml:space="preserve">B02</t>
  </si>
  <si>
    <t xml:space="preserve">B05</t>
  </si>
  <si>
    <t xml:space="preserve">B06</t>
  </si>
  <si>
    <t xml:space="preserve">B03</t>
  </si>
  <si>
    <t xml:space="preserve">07:30–08:00</t>
  </si>
  <si>
    <t xml:space="preserve">B08</t>
  </si>
  <si>
    <t xml:space="preserve">B07</t>
  </si>
  <si>
    <t xml:space="preserve">08:00–08:30</t>
  </si>
  <si>
    <t xml:space="preserve">B09</t>
  </si>
  <si>
    <t xml:space="preserve">B10</t>
  </si>
  <si>
    <t xml:space="preserve">B12</t>
  </si>
  <si>
    <t xml:space="preserve">B13</t>
  </si>
  <si>
    <t xml:space="preserve">B11</t>
  </si>
  <si>
    <t xml:space="preserve">08:30–09:00</t>
  </si>
  <si>
    <t xml:space="preserve">09:00–09:30</t>
  </si>
  <si>
    <t xml:space="preserve">B15</t>
  </si>
  <si>
    <t xml:space="preserve">B14</t>
  </si>
  <si>
    <t xml:space="preserve">B16</t>
  </si>
  <si>
    <t xml:space="preserve">09:30–10:00</t>
  </si>
  <si>
    <t xml:space="preserve">B18</t>
  </si>
  <si>
    <t xml:space="preserve">B17</t>
  </si>
  <si>
    <t xml:space="preserve">10:00–10:30</t>
  </si>
  <si>
    <t xml:space="preserve">B21</t>
  </si>
  <si>
    <t xml:space="preserve">B24</t>
  </si>
  <si>
    <t xml:space="preserve">B23</t>
  </si>
  <si>
    <t xml:space="preserve">B22</t>
  </si>
  <si>
    <t xml:space="preserve">B19</t>
  </si>
  <si>
    <t xml:space="preserve">B20</t>
  </si>
  <si>
    <t xml:space="preserve">B26</t>
  </si>
  <si>
    <t xml:space="preserve">B25</t>
  </si>
  <si>
    <t xml:space="preserve">10:30–11:00</t>
  </si>
  <si>
    <t xml:space="preserve">11:00–11:30</t>
  </si>
  <si>
    <t xml:space="preserve">11:30–12:00</t>
  </si>
  <si>
    <t xml:space="preserve">Almoço</t>
  </si>
  <si>
    <t xml:space="preserve">13:00–13:30</t>
  </si>
  <si>
    <t xml:space="preserve">B31</t>
  </si>
  <si>
    <t xml:space="preserve">B33</t>
  </si>
  <si>
    <t xml:space="preserve">B27</t>
  </si>
  <si>
    <t xml:space="preserve">B28</t>
  </si>
  <si>
    <t xml:space="preserve">B29</t>
  </si>
  <si>
    <t xml:space="preserve">B34</t>
  </si>
  <si>
    <t xml:space="preserve">B30</t>
  </si>
  <si>
    <t xml:space="preserve">B32</t>
  </si>
  <si>
    <t xml:space="preserve">13:30–14:00</t>
  </si>
  <si>
    <t xml:space="preserve">B35</t>
  </si>
  <si>
    <t xml:space="preserve">14:00–14:30</t>
  </si>
  <si>
    <t xml:space="preserve">B37</t>
  </si>
  <si>
    <t xml:space="preserve">B36</t>
  </si>
  <si>
    <t xml:space="preserve">B38</t>
  </si>
  <si>
    <t xml:space="preserve">14:30–15:00</t>
  </si>
  <si>
    <t xml:space="preserve">B39</t>
  </si>
  <si>
    <t xml:space="preserve">15:00–15:30</t>
  </si>
  <si>
    <t xml:space="preserve">B40</t>
  </si>
  <si>
    <t xml:space="preserve">B46</t>
  </si>
  <si>
    <t xml:space="preserve">B43</t>
  </si>
  <si>
    <t xml:space="preserve">B47</t>
  </si>
  <si>
    <t xml:space="preserve">B41</t>
  </si>
  <si>
    <t xml:space="preserve">B45</t>
  </si>
  <si>
    <t xml:space="preserve">B44</t>
  </si>
  <si>
    <t xml:space="preserve">B42</t>
  </si>
  <si>
    <t xml:space="preserve">15:30–16:00</t>
  </si>
  <si>
    <t xml:space="preserve">16:00–16:30</t>
  </si>
  <si>
    <t xml:space="preserve">B49</t>
  </si>
  <si>
    <t xml:space="preserve">B48</t>
  </si>
  <si>
    <t xml:space="preserve">16:30–17:00</t>
  </si>
  <si>
    <t xml:space="preserve">B51</t>
  </si>
  <si>
    <t xml:space="preserve">B50</t>
  </si>
  <si>
    <t xml:space="preserve">17:00–17:30</t>
  </si>
  <si>
    <t xml:space="preserve">B56</t>
  </si>
  <si>
    <t xml:space="preserve">B52</t>
  </si>
  <si>
    <t xml:space="preserve">B58</t>
  </si>
  <si>
    <t xml:space="preserve">B54</t>
  </si>
  <si>
    <t xml:space="preserve">B57</t>
  </si>
  <si>
    <t xml:space="preserve">B59</t>
  </si>
  <si>
    <t xml:space="preserve">B55</t>
  </si>
  <si>
    <t xml:space="preserve">B53</t>
  </si>
  <si>
    <t xml:space="preserve">B60</t>
  </si>
  <si>
    <t xml:space="preserve">17:30–18:00</t>
  </si>
  <si>
    <t xml:space="preserve">18:00–18:30</t>
  </si>
  <si>
    <t xml:space="preserve">18:30–19:00</t>
  </si>
  <si>
    <t xml:space="preserve">Pacotes-modelo</t>
  </si>
  <si>
    <t xml:space="preserve">Pacote 1</t>
  </si>
  <si>
    <t xml:space="preserve">Psicologia, Terapia Ocupacional, Psicopedagogia, Psicomotricidade</t>
  </si>
  <si>
    <t xml:space="preserve">12 blocos/dia</t>
  </si>
  <si>
    <t xml:space="preserve">Pacote 2</t>
  </si>
  <si>
    <t xml:space="preserve">Psicologia, Fonoaudiologia, Psicopedagogia, Terapia alimentar</t>
  </si>
  <si>
    <t xml:space="preserve">Pacote 3</t>
  </si>
  <si>
    <t xml:space="preserve">Terapia Ocupacional, Fonoaudiologia, Psicopedagogia, Musicoterapia</t>
  </si>
  <si>
    <t xml:space="preserve">9 blocos/dia</t>
  </si>
  <si>
    <t xml:space="preserve">Pacote 4</t>
  </si>
  <si>
    <t xml:space="preserve">Psicologia, Terapia Ocupacional, Psicomotricidade, Terapia alimentar</t>
  </si>
  <si>
    <t xml:space="preserve">Pacote 5</t>
  </si>
  <si>
    <t xml:space="preserve">Psicologia, Fonoaudiologia, Psicomotricidade, Musicoterapia</t>
  </si>
  <si>
    <t xml:space="preserve">Pacote 6</t>
  </si>
  <si>
    <t xml:space="preserve">Terapia Ocupacional, Fonoaudiologia, Psicomotricidade, Terapia alimentar</t>
  </si>
  <si>
    <t xml:space="preserve">Blocos de visita: horários e salas</t>
  </si>
  <si>
    <t xml:space="preserve">Bloco</t>
  </si>
  <si>
    <t xml:space="preserve">Pacote</t>
  </si>
  <si>
    <t xml:space="preserve">Início</t>
  </si>
  <si>
    <t xml:space="preserve">Fim</t>
  </si>
  <si>
    <t xml:space="preserve">1ª sessão</t>
  </si>
  <si>
    <t xml:space="preserve">2ª sessão</t>
  </si>
  <si>
    <t xml:space="preserve">3ª sessão</t>
  </si>
  <si>
    <t xml:space="preserve">4ª sessão</t>
  </si>
  <si>
    <t xml:space="preserve">07:00</t>
  </si>
  <si>
    <t xml:space="preserve">09:00</t>
  </si>
  <si>
    <t xml:space="preserve">07:00 Psicologia</t>
  </si>
  <si>
    <t xml:space="preserve">07:30 Terapia alimentar</t>
  </si>
  <si>
    <t xml:space="preserve">08:00 Psicopedagogia</t>
  </si>
  <si>
    <t xml:space="preserve">08:30 Fonoaudiologia</t>
  </si>
  <si>
    <t xml:space="preserve">07:00 Fonoaudiologia</t>
  </si>
  <si>
    <t xml:space="preserve">07:30 Psicologia</t>
  </si>
  <si>
    <t xml:space="preserve">08:00 Terapia alimentar</t>
  </si>
  <si>
    <t xml:space="preserve">08:30 Psicopedagogia</t>
  </si>
  <si>
    <t xml:space="preserve">07:00 Terapia alimentar</t>
  </si>
  <si>
    <t xml:space="preserve">07:30 Fonoaudiologia</t>
  </si>
  <si>
    <t xml:space="preserve">08:30 Psicologia</t>
  </si>
  <si>
    <t xml:space="preserve">07:00 Terapia Ocupacional</t>
  </si>
  <si>
    <t xml:space="preserve">08:00 Fonoaudiologia</t>
  </si>
  <si>
    <t xml:space="preserve">08:30 Psicomotricidade</t>
  </si>
  <si>
    <t xml:space="preserve">07:00 Psicomotricidade</t>
  </si>
  <si>
    <t xml:space="preserve">07:30 Terapia Ocupacional</t>
  </si>
  <si>
    <t xml:space="preserve">08:30 Terapia alimentar</t>
  </si>
  <si>
    <t xml:space="preserve">08:00 Terapia Ocupacional</t>
  </si>
  <si>
    <t xml:space="preserve">07:30</t>
  </si>
  <si>
    <t xml:space="preserve">09:30</t>
  </si>
  <si>
    <t xml:space="preserve">07:30 Musicoterapia</t>
  </si>
  <si>
    <t xml:space="preserve">09:00 Psicopedagogia</t>
  </si>
  <si>
    <t xml:space="preserve">09:00 Fonoaudiologia</t>
  </si>
  <si>
    <t xml:space="preserve">08:00</t>
  </si>
  <si>
    <t xml:space="preserve">10:00</t>
  </si>
  <si>
    <t xml:space="preserve">08:00 Psicologia</t>
  </si>
  <si>
    <t xml:space="preserve">08:30 Terapia Ocupacional</t>
  </si>
  <si>
    <t xml:space="preserve">09:00 Psicomotricidade</t>
  </si>
  <si>
    <t xml:space="preserve">09:30 Psicopedagogia</t>
  </si>
  <si>
    <t xml:space="preserve">09:00 Terapia Ocupacional</t>
  </si>
  <si>
    <t xml:space="preserve">09:30 Psicomotricidade</t>
  </si>
  <si>
    <t xml:space="preserve">08:00 Musicoterapia</t>
  </si>
  <si>
    <t xml:space="preserve">09:30 Fonoaudiologia</t>
  </si>
  <si>
    <t xml:space="preserve">08:00 Psicomotricidade</t>
  </si>
  <si>
    <t xml:space="preserve">08:30 Musicoterapia</t>
  </si>
  <si>
    <t xml:space="preserve">09:00 Psicologia</t>
  </si>
  <si>
    <t xml:space="preserve">09:30 Musicoterapia</t>
  </si>
  <si>
    <t xml:space="preserve">11:00</t>
  </si>
  <si>
    <t xml:space="preserve">09:30 Psicologia</t>
  </si>
  <si>
    <t xml:space="preserve">10:00 Psicopedagogia</t>
  </si>
  <si>
    <t xml:space="preserve">10:30 Psicomotricidade</t>
  </si>
  <si>
    <t xml:space="preserve">10:00 Musicoterapia</t>
  </si>
  <si>
    <t xml:space="preserve">10:30 Fonoaudiologia</t>
  </si>
  <si>
    <t xml:space="preserve">09:30 Terapia alimentar</t>
  </si>
  <si>
    <t xml:space="preserve">10:00 Terapia Ocupacional</t>
  </si>
  <si>
    <t xml:space="preserve">11:30</t>
  </si>
  <si>
    <t xml:space="preserve">10:00 Fonoaudiologia</t>
  </si>
  <si>
    <t xml:space="preserve">10:30 Psicopedagogia</t>
  </si>
  <si>
    <t xml:space="preserve">11:00 Psicologia</t>
  </si>
  <si>
    <t xml:space="preserve">10:00 Terapia alimentar</t>
  </si>
  <si>
    <t xml:space="preserve">10:30 Terapia Ocupacional</t>
  </si>
  <si>
    <t xml:space="preserve">11:00 Psicomotricidade</t>
  </si>
  <si>
    <t xml:space="preserve">12:00</t>
  </si>
  <si>
    <t xml:space="preserve">10:30 Psicologia</t>
  </si>
  <si>
    <t xml:space="preserve">11:00 Terapia Ocupacional</t>
  </si>
  <si>
    <t xml:space="preserve">11:30 Psicomotricidade</t>
  </si>
  <si>
    <t xml:space="preserve">10:00 Psicomotricidade</t>
  </si>
  <si>
    <t xml:space="preserve">11:30 Psicopedagogia</t>
  </si>
  <si>
    <t xml:space="preserve">10:00 Psicologia</t>
  </si>
  <si>
    <t xml:space="preserve">10:30 Terapia alimentar</t>
  </si>
  <si>
    <t xml:space="preserve">11:00 Fonoaudiologia</t>
  </si>
  <si>
    <t xml:space="preserve">11:00 Psicopedagogia</t>
  </si>
  <si>
    <t xml:space="preserve">11:30 Terapia alimentar</t>
  </si>
  <si>
    <t xml:space="preserve">11:00 Musicoterapia</t>
  </si>
  <si>
    <t xml:space="preserve">11:30 Fonoaudiologia</t>
  </si>
  <si>
    <t xml:space="preserve">11:30 Terapia Ocupacional</t>
  </si>
  <si>
    <t xml:space="preserve">11:30 Psicologia</t>
  </si>
  <si>
    <t xml:space="preserve">10:30 Musicoterapia</t>
  </si>
  <si>
    <t xml:space="preserve">13:00</t>
  </si>
  <si>
    <t xml:space="preserve">15:00</t>
  </si>
  <si>
    <t xml:space="preserve">13:00 Terapia Ocupacional</t>
  </si>
  <si>
    <t xml:space="preserve">13:30 Psicologia</t>
  </si>
  <si>
    <t xml:space="preserve">14:00 Psicomotricidade</t>
  </si>
  <si>
    <t xml:space="preserve">14:30 Psicopedagogia</t>
  </si>
  <si>
    <t xml:space="preserve">13:30 Psicomotricidade</t>
  </si>
  <si>
    <t xml:space="preserve">14:00 Psicopedagogia</t>
  </si>
  <si>
    <t xml:space="preserve">14:30 Psicologia</t>
  </si>
  <si>
    <t xml:space="preserve">13:00 Psicopedagogia</t>
  </si>
  <si>
    <t xml:space="preserve">13:30 Fonoaudiologia</t>
  </si>
  <si>
    <t xml:space="preserve">14:00 Musicoterapia</t>
  </si>
  <si>
    <t xml:space="preserve">14:30 Terapia Ocupacional</t>
  </si>
  <si>
    <t xml:space="preserve">13:00 Musicoterapia</t>
  </si>
  <si>
    <t xml:space="preserve">13:30 Psicopedagogia</t>
  </si>
  <si>
    <t xml:space="preserve">14:00 Terapia Ocupacional</t>
  </si>
  <si>
    <t xml:space="preserve">14:30 Fonoaudiologia</t>
  </si>
  <si>
    <t xml:space="preserve">13:00 Psicologia</t>
  </si>
  <si>
    <t xml:space="preserve">14:30 Terapia alimentar</t>
  </si>
  <si>
    <t xml:space="preserve">13:00 Terapia alimentar</t>
  </si>
  <si>
    <t xml:space="preserve">13:30 Terapia Ocupacional</t>
  </si>
  <si>
    <t xml:space="preserve">14:00 Psicologia</t>
  </si>
  <si>
    <t xml:space="preserve">14:30 Psicomotricidade</t>
  </si>
  <si>
    <t xml:space="preserve">14:00 Terapia alimentar</t>
  </si>
  <si>
    <t xml:space="preserve">13:00 Psicomotricidade</t>
  </si>
  <si>
    <t xml:space="preserve">14:00 Fonoaudiologia</t>
  </si>
  <si>
    <t xml:space="preserve">14:30 Musicoterapia</t>
  </si>
  <si>
    <t xml:space="preserve">13:30</t>
  </si>
  <si>
    <t xml:space="preserve">15:30</t>
  </si>
  <si>
    <t xml:space="preserve">15:00 Psicologia</t>
  </si>
  <si>
    <t xml:space="preserve">14:00</t>
  </si>
  <si>
    <t xml:space="preserve">16:00</t>
  </si>
  <si>
    <t xml:space="preserve">15:00 Psicomotricidade</t>
  </si>
  <si>
    <t xml:space="preserve">15:30 Psicologia</t>
  </si>
  <si>
    <t xml:space="preserve">15:00 Terapia Ocupacional</t>
  </si>
  <si>
    <t xml:space="preserve">15:30 Psicomotricidade</t>
  </si>
  <si>
    <t xml:space="preserve">15:00 Terapia alimentar</t>
  </si>
  <si>
    <t xml:space="preserve">15:30 Terapia Ocupacional</t>
  </si>
  <si>
    <t xml:space="preserve">14:30</t>
  </si>
  <si>
    <t xml:space="preserve">16:30</t>
  </si>
  <si>
    <t xml:space="preserve">15:00 Psicopedagogia</t>
  </si>
  <si>
    <t xml:space="preserve">15:30 Musicoterapia</t>
  </si>
  <si>
    <t xml:space="preserve">16:00 Terapia Ocupacional</t>
  </si>
  <si>
    <t xml:space="preserve">17:00</t>
  </si>
  <si>
    <t xml:space="preserve">15:30 Psicopedagogia</t>
  </si>
  <si>
    <t xml:space="preserve">16:00 Psicomotricidade</t>
  </si>
  <si>
    <t xml:space="preserve">16:30 Terapia Ocupacional</t>
  </si>
  <si>
    <t xml:space="preserve">16:00 Psicologia</t>
  </si>
  <si>
    <t xml:space="preserve">16:30 Psicomotricidade</t>
  </si>
  <si>
    <t xml:space="preserve">16:00 Fonoaudiologia</t>
  </si>
  <si>
    <t xml:space="preserve">16:30 Psicopedagogia</t>
  </si>
  <si>
    <t xml:space="preserve">15:00 Fonoaudiologia</t>
  </si>
  <si>
    <t xml:space="preserve">16:30 Musicoterapia</t>
  </si>
  <si>
    <t xml:space="preserve">15:00 Musicoterapia</t>
  </si>
  <si>
    <t xml:space="preserve">16:30 Fonoaudiologia</t>
  </si>
  <si>
    <t xml:space="preserve">15:30 Fonoaudiologia</t>
  </si>
  <si>
    <t xml:space="preserve">16:00 Musicoterapia</t>
  </si>
  <si>
    <t xml:space="preserve">16:30 Psicologia</t>
  </si>
  <si>
    <t xml:space="preserve">16:00 Terapia alimentar</t>
  </si>
  <si>
    <t xml:space="preserve">15:30 Terapia alimentar</t>
  </si>
  <si>
    <t xml:space="preserve">18:00</t>
  </si>
  <si>
    <t xml:space="preserve">16:00 Psicopedagogia</t>
  </si>
  <si>
    <t xml:space="preserve">17:00 Terapia Ocupacional</t>
  </si>
  <si>
    <t xml:space="preserve">17:30 Psicomotricidade</t>
  </si>
  <si>
    <t xml:space="preserve">16:30 Terapia alimentar</t>
  </si>
  <si>
    <t xml:space="preserve">17:00 Psicologia</t>
  </si>
  <si>
    <t xml:space="preserve">17:30 Psicopedagogia</t>
  </si>
  <si>
    <t xml:space="preserve">18:30</t>
  </si>
  <si>
    <t xml:space="preserve">18:00 Psicologia</t>
  </si>
  <si>
    <t xml:space="preserve">17:00 Psicopedagogia</t>
  </si>
  <si>
    <t xml:space="preserve">17:30 Terapia alimentar</t>
  </si>
  <si>
    <t xml:space="preserve">19:00</t>
  </si>
  <si>
    <t xml:space="preserve">17:00 Fonoaudiologia</t>
  </si>
  <si>
    <t xml:space="preserve">18:00 Psicopedagogia</t>
  </si>
  <si>
    <t xml:space="preserve">18:30 Psicologia</t>
  </si>
  <si>
    <t xml:space="preserve">17:00 Terapia alimentar</t>
  </si>
  <si>
    <t xml:space="preserve">17:30 Psicologia</t>
  </si>
  <si>
    <t xml:space="preserve">18:00 Fonoaudiologia</t>
  </si>
  <si>
    <t xml:space="preserve">18:30 Psicopedagogia</t>
  </si>
  <si>
    <t xml:space="preserve">17:30 Musicoterapia</t>
  </si>
  <si>
    <t xml:space="preserve">18:00 Terapia Ocupacional</t>
  </si>
  <si>
    <t xml:space="preserve">18:30 Fonoaudiologia</t>
  </si>
  <si>
    <t xml:space="preserve">17:00 Musicoterapia</t>
  </si>
  <si>
    <t xml:space="preserve">18:30 Terapia Ocupacional</t>
  </si>
  <si>
    <t xml:space="preserve">17:30 Terapia Ocupacional</t>
  </si>
  <si>
    <t xml:space="preserve">18:00 Terapia alimentar</t>
  </si>
  <si>
    <t xml:space="preserve">18:30 Psicomotricidade</t>
  </si>
  <si>
    <t xml:space="preserve">17:00 Psicomotricidade</t>
  </si>
  <si>
    <t xml:space="preserve">17:30 Fonoaudiologia</t>
  </si>
  <si>
    <t xml:space="preserve">18:00 Musicoterapia</t>
  </si>
  <si>
    <t xml:space="preserve">18:00 Psicomotricidade</t>
  </si>
  <si>
    <t xml:space="preserve">18:30 Musicoterapia</t>
  </si>
  <si>
    <t xml:space="preserve">Plano adotado: 16 sessões por mês, 1 visita de 2 h por semana. Quem ocupa cada bloco em cada dia da semana</t>
  </si>
  <si>
    <t xml:space="preserve">Cada criança tem um dia da semana, um bloco e um horário fixos (sempre os mesmos). Células amarelas = as 30 vagas que ficam livres para reposição no cenário de 90% (270 crianças); no de 100% (300 crianças) elas são ocupadas por C271–C300.</t>
  </si>
  <si>
    <t xml:space="preserve">C001</t>
  </si>
  <si>
    <t xml:space="preserve">C002</t>
  </si>
  <si>
    <t xml:space="preserve">C003</t>
  </si>
  <si>
    <t xml:space="preserve">C004</t>
  </si>
  <si>
    <t xml:space="preserve">C005</t>
  </si>
  <si>
    <t xml:space="preserve">C006</t>
  </si>
  <si>
    <t xml:space="preserve">C007</t>
  </si>
  <si>
    <t xml:space="preserve">C008</t>
  </si>
  <si>
    <t xml:space="preserve">C009</t>
  </si>
  <si>
    <t xml:space="preserve">C010</t>
  </si>
  <si>
    <t xml:space="preserve">C271</t>
  </si>
  <si>
    <t xml:space="preserve">C011</t>
  </si>
  <si>
    <t xml:space="preserve">C012</t>
  </si>
  <si>
    <t xml:space="preserve">C013</t>
  </si>
  <si>
    <t xml:space="preserve">C014</t>
  </si>
  <si>
    <t xml:space="preserve">C015</t>
  </si>
  <si>
    <t xml:space="preserve">C016</t>
  </si>
  <si>
    <t xml:space="preserve">C017</t>
  </si>
  <si>
    <t xml:space="preserve">C018</t>
  </si>
  <si>
    <t xml:space="preserve">C019</t>
  </si>
  <si>
    <t xml:space="preserve">C020</t>
  </si>
  <si>
    <t xml:space="preserve">C021</t>
  </si>
  <si>
    <t xml:space="preserve">C272</t>
  </si>
  <si>
    <t xml:space="preserve">C022</t>
  </si>
  <si>
    <t xml:space="preserve">C023</t>
  </si>
  <si>
    <t xml:space="preserve">C024</t>
  </si>
  <si>
    <t xml:space="preserve">C025</t>
  </si>
  <si>
    <t xml:space="preserve">C026</t>
  </si>
  <si>
    <t xml:space="preserve">C027</t>
  </si>
  <si>
    <t xml:space="preserve">C028</t>
  </si>
  <si>
    <t xml:space="preserve">C029</t>
  </si>
  <si>
    <t xml:space="preserve">C030</t>
  </si>
  <si>
    <t xml:space="preserve">C031</t>
  </si>
  <si>
    <t xml:space="preserve">C273</t>
  </si>
  <si>
    <t xml:space="preserve">C032</t>
  </si>
  <si>
    <t xml:space="preserve">C033</t>
  </si>
  <si>
    <t xml:space="preserve">C034</t>
  </si>
  <si>
    <t xml:space="preserve">C035</t>
  </si>
  <si>
    <t xml:space="preserve">C274</t>
  </si>
  <si>
    <t xml:space="preserve">C036</t>
  </si>
  <si>
    <t xml:space="preserve">C037</t>
  </si>
  <si>
    <t xml:space="preserve">C038</t>
  </si>
  <si>
    <t xml:space="preserve">C039</t>
  </si>
  <si>
    <t xml:space="preserve">C040</t>
  </si>
  <si>
    <t xml:space="preserve">C041</t>
  </si>
  <si>
    <t xml:space="preserve">C275</t>
  </si>
  <si>
    <t xml:space="preserve">C042</t>
  </si>
  <si>
    <t xml:space="preserve">C043</t>
  </si>
  <si>
    <t xml:space="preserve">C044</t>
  </si>
  <si>
    <t xml:space="preserve">C045</t>
  </si>
  <si>
    <t xml:space="preserve">C046</t>
  </si>
  <si>
    <t xml:space="preserve">C047</t>
  </si>
  <si>
    <t xml:space="preserve">C048</t>
  </si>
  <si>
    <t xml:space="preserve">C049</t>
  </si>
  <si>
    <t xml:space="preserve">C050</t>
  </si>
  <si>
    <t xml:space="preserve">C051</t>
  </si>
  <si>
    <t xml:space="preserve">C052</t>
  </si>
  <si>
    <t xml:space="preserve">C276</t>
  </si>
  <si>
    <t xml:space="preserve">C053</t>
  </si>
  <si>
    <t xml:space="preserve">C054</t>
  </si>
  <si>
    <t xml:space="preserve">C055</t>
  </si>
  <si>
    <t xml:space="preserve">C056</t>
  </si>
  <si>
    <t xml:space="preserve">C057</t>
  </si>
  <si>
    <t xml:space="preserve">C058</t>
  </si>
  <si>
    <t xml:space="preserve">C059</t>
  </si>
  <si>
    <t xml:space="preserve">C060</t>
  </si>
  <si>
    <t xml:space="preserve">C061</t>
  </si>
  <si>
    <t xml:space="preserve">C062</t>
  </si>
  <si>
    <t xml:space="preserve">C063</t>
  </si>
  <si>
    <t xml:space="preserve">C064</t>
  </si>
  <si>
    <t xml:space="preserve">C065</t>
  </si>
  <si>
    <t xml:space="preserve">C066</t>
  </si>
  <si>
    <t xml:space="preserve">C067</t>
  </si>
  <si>
    <t xml:space="preserve">C277</t>
  </si>
  <si>
    <t xml:space="preserve">C068</t>
  </si>
  <si>
    <t xml:space="preserve">C069</t>
  </si>
  <si>
    <t xml:space="preserve">C070</t>
  </si>
  <si>
    <t xml:space="preserve">C071</t>
  </si>
  <si>
    <t xml:space="preserve">C072</t>
  </si>
  <si>
    <t xml:space="preserve">C073</t>
  </si>
  <si>
    <t xml:space="preserve">C074</t>
  </si>
  <si>
    <t xml:space="preserve">C075</t>
  </si>
  <si>
    <t xml:space="preserve">C076</t>
  </si>
  <si>
    <t xml:space="preserve">C077</t>
  </si>
  <si>
    <t xml:space="preserve">C078</t>
  </si>
  <si>
    <t xml:space="preserve">C079</t>
  </si>
  <si>
    <t xml:space="preserve">C080</t>
  </si>
  <si>
    <t xml:space="preserve">C081</t>
  </si>
  <si>
    <t xml:space="preserve">C082</t>
  </si>
  <si>
    <t xml:space="preserve">C083</t>
  </si>
  <si>
    <t xml:space="preserve">C084</t>
  </si>
  <si>
    <t xml:space="preserve">C278</t>
  </si>
  <si>
    <t xml:space="preserve">C085</t>
  </si>
  <si>
    <t xml:space="preserve">C086</t>
  </si>
  <si>
    <t xml:space="preserve">C087</t>
  </si>
  <si>
    <t xml:space="preserve">C088</t>
  </si>
  <si>
    <t xml:space="preserve">C089</t>
  </si>
  <si>
    <t xml:space="preserve">C090</t>
  </si>
  <si>
    <t xml:space="preserve">C091</t>
  </si>
  <si>
    <t xml:space="preserve">C092</t>
  </si>
  <si>
    <t xml:space="preserve">C093</t>
  </si>
  <si>
    <t xml:space="preserve">C279</t>
  </si>
  <si>
    <t xml:space="preserve">C094</t>
  </si>
  <si>
    <t xml:space="preserve">C095</t>
  </si>
  <si>
    <t xml:space="preserve">C096</t>
  </si>
  <si>
    <t xml:space="preserve">C097</t>
  </si>
  <si>
    <t xml:space="preserve">C098</t>
  </si>
  <si>
    <t xml:space="preserve">C099</t>
  </si>
  <si>
    <t xml:space="preserve">C100</t>
  </si>
  <si>
    <t xml:space="preserve">C101</t>
  </si>
  <si>
    <t xml:space="preserve">C102</t>
  </si>
  <si>
    <t xml:space="preserve">C103</t>
  </si>
  <si>
    <t xml:space="preserve">C104</t>
  </si>
  <si>
    <t xml:space="preserve">C105</t>
  </si>
  <si>
    <t xml:space="preserve">C280</t>
  </si>
  <si>
    <t xml:space="preserve">C106</t>
  </si>
  <si>
    <t xml:space="preserve">C107</t>
  </si>
  <si>
    <t xml:space="preserve">C108</t>
  </si>
  <si>
    <t xml:space="preserve">C281</t>
  </si>
  <si>
    <t xml:space="preserve">C109</t>
  </si>
  <si>
    <t xml:space="preserve">C110</t>
  </si>
  <si>
    <t xml:space="preserve">C111</t>
  </si>
  <si>
    <t xml:space="preserve">C112</t>
  </si>
  <si>
    <t xml:space="preserve">C113</t>
  </si>
  <si>
    <t xml:space="preserve">C114</t>
  </si>
  <si>
    <t xml:space="preserve">C115</t>
  </si>
  <si>
    <t xml:space="preserve">C116</t>
  </si>
  <si>
    <t xml:space="preserve">C117</t>
  </si>
  <si>
    <t xml:space="preserve">C118</t>
  </si>
  <si>
    <t xml:space="preserve">C119</t>
  </si>
  <si>
    <t xml:space="preserve">C120</t>
  </si>
  <si>
    <t xml:space="preserve">C121</t>
  </si>
  <si>
    <t xml:space="preserve">C282</t>
  </si>
  <si>
    <t xml:space="preserve">C122</t>
  </si>
  <si>
    <t xml:space="preserve">C123</t>
  </si>
  <si>
    <t xml:space="preserve">C124</t>
  </si>
  <si>
    <t xml:space="preserve">C125</t>
  </si>
  <si>
    <t xml:space="preserve">C126</t>
  </si>
  <si>
    <t xml:space="preserve">C127</t>
  </si>
  <si>
    <t xml:space="preserve">C128</t>
  </si>
  <si>
    <t xml:space="preserve">C283</t>
  </si>
  <si>
    <t xml:space="preserve">C129</t>
  </si>
  <si>
    <t xml:space="preserve">C130</t>
  </si>
  <si>
    <t xml:space="preserve">C131</t>
  </si>
  <si>
    <t xml:space="preserve">C132</t>
  </si>
  <si>
    <t xml:space="preserve">C133</t>
  </si>
  <si>
    <t xml:space="preserve">C134</t>
  </si>
  <si>
    <t xml:space="preserve">C135</t>
  </si>
  <si>
    <t xml:space="preserve">C136</t>
  </si>
  <si>
    <t xml:space="preserve">C137</t>
  </si>
  <si>
    <t xml:space="preserve">C138</t>
  </si>
  <si>
    <t xml:space="preserve">C139</t>
  </si>
  <si>
    <t xml:space="preserve">C140</t>
  </si>
  <si>
    <t xml:space="preserve">C141</t>
  </si>
  <si>
    <t xml:space="preserve">C284</t>
  </si>
  <si>
    <t xml:space="preserve">C285</t>
  </si>
  <si>
    <t xml:space="preserve">C142</t>
  </si>
  <si>
    <t xml:space="preserve">C143</t>
  </si>
  <si>
    <t xml:space="preserve">C144</t>
  </si>
  <si>
    <t xml:space="preserve">C145</t>
  </si>
  <si>
    <t xml:space="preserve">C146</t>
  </si>
  <si>
    <t xml:space="preserve">C147</t>
  </si>
  <si>
    <t xml:space="preserve">C148</t>
  </si>
  <si>
    <t xml:space="preserve">C149</t>
  </si>
  <si>
    <t xml:space="preserve">C150</t>
  </si>
  <si>
    <t xml:space="preserve">C151</t>
  </si>
  <si>
    <t xml:space="preserve">C152</t>
  </si>
  <si>
    <t xml:space="preserve">C153</t>
  </si>
  <si>
    <t xml:space="preserve">C154</t>
  </si>
  <si>
    <t xml:space="preserve">C286</t>
  </si>
  <si>
    <t xml:space="preserve">C155</t>
  </si>
  <si>
    <t xml:space="preserve">C156</t>
  </si>
  <si>
    <t xml:space="preserve">C287</t>
  </si>
  <si>
    <t xml:space="preserve">C157</t>
  </si>
  <si>
    <t xml:space="preserve">C158</t>
  </si>
  <si>
    <t xml:space="preserve">C159</t>
  </si>
  <si>
    <t xml:space="preserve">C160</t>
  </si>
  <si>
    <t xml:space="preserve">C161</t>
  </si>
  <si>
    <t xml:space="preserve">C288</t>
  </si>
  <si>
    <t xml:space="preserve">C162</t>
  </si>
  <si>
    <t xml:space="preserve">C163</t>
  </si>
  <si>
    <t xml:space="preserve">C289</t>
  </si>
  <si>
    <t xml:space="preserve">C164</t>
  </si>
  <si>
    <t xml:space="preserve">C165</t>
  </si>
  <si>
    <t xml:space="preserve">C166</t>
  </si>
  <si>
    <t xml:space="preserve">C167</t>
  </si>
  <si>
    <t xml:space="preserve">C168</t>
  </si>
  <si>
    <t xml:space="preserve">C169</t>
  </si>
  <si>
    <t xml:space="preserve">C170</t>
  </si>
  <si>
    <t xml:space="preserve">C171</t>
  </si>
  <si>
    <t xml:space="preserve">C172</t>
  </si>
  <si>
    <t xml:space="preserve">C290</t>
  </si>
  <si>
    <t xml:space="preserve">C173</t>
  </si>
  <si>
    <t xml:space="preserve">C174</t>
  </si>
  <si>
    <t xml:space="preserve">C175</t>
  </si>
  <si>
    <t xml:space="preserve">C176</t>
  </si>
  <si>
    <t xml:space="preserve">C177</t>
  </si>
  <si>
    <t xml:space="preserve">C178</t>
  </si>
  <si>
    <t xml:space="preserve">C179</t>
  </si>
  <si>
    <t xml:space="preserve">C180</t>
  </si>
  <si>
    <t xml:space="preserve">C181</t>
  </si>
  <si>
    <t xml:space="preserve">C182</t>
  </si>
  <si>
    <t xml:space="preserve">C183</t>
  </si>
  <si>
    <t xml:space="preserve">C184</t>
  </si>
  <si>
    <t xml:space="preserve">C291</t>
  </si>
  <si>
    <t xml:space="preserve">C185</t>
  </si>
  <si>
    <t xml:space="preserve">C186</t>
  </si>
  <si>
    <t xml:space="preserve">C187</t>
  </si>
  <si>
    <t xml:space="preserve">C188</t>
  </si>
  <si>
    <t xml:space="preserve">C189</t>
  </si>
  <si>
    <t xml:space="preserve">C190</t>
  </si>
  <si>
    <t xml:space="preserve">C191</t>
  </si>
  <si>
    <t xml:space="preserve">C192</t>
  </si>
  <si>
    <t xml:space="preserve">C193</t>
  </si>
  <si>
    <t xml:space="preserve">C194</t>
  </si>
  <si>
    <t xml:space="preserve">C292</t>
  </si>
  <si>
    <t xml:space="preserve">C195</t>
  </si>
  <si>
    <t xml:space="preserve">C196</t>
  </si>
  <si>
    <t xml:space="preserve">C197</t>
  </si>
  <si>
    <t xml:space="preserve">C198</t>
  </si>
  <si>
    <t xml:space="preserve">C199</t>
  </si>
  <si>
    <t xml:space="preserve">C200</t>
  </si>
  <si>
    <t xml:space="preserve">C201</t>
  </si>
  <si>
    <t xml:space="preserve">C202</t>
  </si>
  <si>
    <t xml:space="preserve">C203</t>
  </si>
  <si>
    <t xml:space="preserve">C204</t>
  </si>
  <si>
    <t xml:space="preserve">C205</t>
  </si>
  <si>
    <t xml:space="preserve">C206</t>
  </si>
  <si>
    <t xml:space="preserve">C207</t>
  </si>
  <si>
    <t xml:space="preserve">C293</t>
  </si>
  <si>
    <t xml:space="preserve">C294</t>
  </si>
  <si>
    <t xml:space="preserve">C208</t>
  </si>
  <si>
    <t xml:space="preserve">C209</t>
  </si>
  <si>
    <t xml:space="preserve">C210</t>
  </si>
  <si>
    <t xml:space="preserve">C211</t>
  </si>
  <si>
    <t xml:space="preserve">C212</t>
  </si>
  <si>
    <t xml:space="preserve">C213</t>
  </si>
  <si>
    <t xml:space="preserve">C214</t>
  </si>
  <si>
    <t xml:space="preserve">C215</t>
  </si>
  <si>
    <t xml:space="preserve">C216</t>
  </si>
  <si>
    <t xml:space="preserve">C217</t>
  </si>
  <si>
    <t xml:space="preserve">C218</t>
  </si>
  <si>
    <t xml:space="preserve">C219</t>
  </si>
  <si>
    <t xml:space="preserve">C295</t>
  </si>
  <si>
    <t xml:space="preserve">C220</t>
  </si>
  <si>
    <t xml:space="preserve">C221</t>
  </si>
  <si>
    <t xml:space="preserve">C222</t>
  </si>
  <si>
    <t xml:space="preserve">C223</t>
  </si>
  <si>
    <t xml:space="preserve">C224</t>
  </si>
  <si>
    <t xml:space="preserve">C225</t>
  </si>
  <si>
    <t xml:space="preserve">C226</t>
  </si>
  <si>
    <t xml:space="preserve">C227</t>
  </si>
  <si>
    <t xml:space="preserve">C228</t>
  </si>
  <si>
    <t xml:space="preserve">C229</t>
  </si>
  <si>
    <t xml:space="preserve">C230</t>
  </si>
  <si>
    <t xml:space="preserve">C231</t>
  </si>
  <si>
    <t xml:space="preserve">C232</t>
  </si>
  <si>
    <t xml:space="preserve">C233</t>
  </si>
  <si>
    <t xml:space="preserve">C234</t>
  </si>
  <si>
    <t xml:space="preserve">C296</t>
  </si>
  <si>
    <t xml:space="preserve">C235</t>
  </si>
  <si>
    <t xml:space="preserve">C236</t>
  </si>
  <si>
    <t xml:space="preserve">C237</t>
  </si>
  <si>
    <t xml:space="preserve">C238</t>
  </si>
  <si>
    <t xml:space="preserve">C239</t>
  </si>
  <si>
    <t xml:space="preserve">C240</t>
  </si>
  <si>
    <t xml:space="preserve">C241</t>
  </si>
  <si>
    <t xml:space="preserve">C297</t>
  </si>
  <si>
    <t xml:space="preserve">C242</t>
  </si>
  <si>
    <t xml:space="preserve">C243</t>
  </si>
  <si>
    <t xml:space="preserve">C244</t>
  </si>
  <si>
    <t xml:space="preserve">C245</t>
  </si>
  <si>
    <t xml:space="preserve">C246</t>
  </si>
  <si>
    <t xml:space="preserve">C247</t>
  </si>
  <si>
    <t xml:space="preserve">C248</t>
  </si>
  <si>
    <t xml:space="preserve">C249</t>
  </si>
  <si>
    <t xml:space="preserve">C250</t>
  </si>
  <si>
    <t xml:space="preserve">C298</t>
  </si>
  <si>
    <t xml:space="preserve">C251</t>
  </si>
  <si>
    <t xml:space="preserve">C252</t>
  </si>
  <si>
    <t xml:space="preserve">C253</t>
  </si>
  <si>
    <t xml:space="preserve">C299</t>
  </si>
  <si>
    <t xml:space="preserve">C254</t>
  </si>
  <si>
    <t xml:space="preserve">C255</t>
  </si>
  <si>
    <t xml:space="preserve">C256</t>
  </si>
  <si>
    <t xml:space="preserve">C257</t>
  </si>
  <si>
    <t xml:space="preserve">C258</t>
  </si>
  <si>
    <t xml:space="preserve">C259</t>
  </si>
  <si>
    <t xml:space="preserve">C260</t>
  </si>
  <si>
    <t xml:space="preserve">C261</t>
  </si>
  <si>
    <t xml:space="preserve">C262</t>
  </si>
  <si>
    <t xml:space="preserve">C263</t>
  </si>
  <si>
    <t xml:space="preserve">C264</t>
  </si>
  <si>
    <t xml:space="preserve">C265</t>
  </si>
  <si>
    <t xml:space="preserve">C266</t>
  </si>
  <si>
    <t xml:space="preserve">C267</t>
  </si>
  <si>
    <t xml:space="preserve">C300</t>
  </si>
  <si>
    <t xml:space="preserve">C268</t>
  </si>
  <si>
    <t xml:space="preserve">C269</t>
  </si>
  <si>
    <t xml:space="preserve">C270</t>
  </si>
  <si>
    <t xml:space="preserve">Serviços extras e de apoio</t>
  </si>
  <si>
    <t xml:space="preserve">Atendimento médico (1 dia por mês por especialidade; consultas de 30 min; 08h–12h e 13h–17h = 16 consultas/dia). Datas sugeridas.</t>
  </si>
  <si>
    <t xml:space="preserve">Neuropediatra</t>
  </si>
  <si>
    <t xml:space="preserve">Psiquiatra infantil</t>
  </si>
  <si>
    <t xml:space="preserve">Pediatra</t>
  </si>
  <si>
    <t xml:space="preserve">07/2026</t>
  </si>
  <si>
    <t xml:space="preserve">14/07 (ter)</t>
  </si>
  <si>
    <t xml:space="preserve">15/07 (qua)</t>
  </si>
  <si>
    <t xml:space="preserve">23/07 (qui)</t>
  </si>
  <si>
    <t xml:space="preserve">08/2026</t>
  </si>
  <si>
    <t xml:space="preserve">11/08 (ter)</t>
  </si>
  <si>
    <t xml:space="preserve">19/08 (qua)</t>
  </si>
  <si>
    <t xml:space="preserve">27/08 (qui)</t>
  </si>
  <si>
    <t xml:space="preserve">09/2026</t>
  </si>
  <si>
    <t xml:space="preserve">08/09 (ter)</t>
  </si>
  <si>
    <t xml:space="preserve">16/09 (qua)</t>
  </si>
  <si>
    <t xml:space="preserve">24/09 (qui)</t>
  </si>
  <si>
    <t xml:space="preserve">10/2026</t>
  </si>
  <si>
    <t xml:space="preserve">13/10 (ter)</t>
  </si>
  <si>
    <t xml:space="preserve">21/10 (qua)</t>
  </si>
  <si>
    <t xml:space="preserve">22/10 (qui)</t>
  </si>
  <si>
    <t xml:space="preserve">11/2026</t>
  </si>
  <si>
    <t xml:space="preserve">10/11 (ter)</t>
  </si>
  <si>
    <t xml:space="preserve">18/11 (qua)</t>
  </si>
  <si>
    <t xml:space="preserve">26/11 (qui)</t>
  </si>
  <si>
    <t xml:space="preserve">12/2026</t>
  </si>
  <si>
    <t xml:space="preserve">09/12 (qua)</t>
  </si>
  <si>
    <t xml:space="preserve">16/12 (qua)</t>
  </si>
  <si>
    <t xml:space="preserve">24/12 (qui)</t>
  </si>
  <si>
    <t xml:space="preserve">01/2027</t>
  </si>
  <si>
    <t xml:space="preserve">12/01 (ter)</t>
  </si>
  <si>
    <t xml:space="preserve">20/01 (qua)</t>
  </si>
  <si>
    <t xml:space="preserve">28/01 (qui)</t>
  </si>
  <si>
    <t xml:space="preserve">02/2027</t>
  </si>
  <si>
    <t xml:space="preserve">10/02 (qua)</t>
  </si>
  <si>
    <t xml:space="preserve">17/02 (qua)</t>
  </si>
  <si>
    <t xml:space="preserve">25/02 (qui)</t>
  </si>
  <si>
    <t xml:space="preserve">03/2027</t>
  </si>
  <si>
    <t xml:space="preserve">09/03 (ter)</t>
  </si>
  <si>
    <t xml:space="preserve">18/03 (qui)</t>
  </si>
  <si>
    <t xml:space="preserve">25/03 (qui)</t>
  </si>
  <si>
    <t xml:space="preserve">04/2027</t>
  </si>
  <si>
    <t xml:space="preserve">13/04 (ter)</t>
  </si>
  <si>
    <t xml:space="preserve">22/04 (qui)</t>
  </si>
  <si>
    <t xml:space="preserve">05/2027</t>
  </si>
  <si>
    <t xml:space="preserve">11/05 (ter)</t>
  </si>
  <si>
    <t xml:space="preserve">19/05 (qua)</t>
  </si>
  <si>
    <t xml:space="preserve">28/05 (sex)</t>
  </si>
  <si>
    <t xml:space="preserve">06/2027</t>
  </si>
  <si>
    <t xml:space="preserve">08/06 (ter)</t>
  </si>
  <si>
    <t xml:space="preserve">16/06 (qua)</t>
  </si>
  <si>
    <t xml:space="preserve">25/06 (sex)</t>
  </si>
  <si>
    <t xml:space="preserve">Capacidade: 16 consultas × 12 dias = 192 por médico por ano; cobre cerca de 64% das 300 crianças (71% das 270) na primeira consulta.</t>
  </si>
  <si>
    <t xml:space="preserve">Odontologia: 1 dentista por dia, consultas de 40 min = 16 vagas/dia (7 de manhã, 9 à tarde)</t>
  </si>
  <si>
    <t xml:space="preserve">Manhã</t>
  </si>
  <si>
    <t xml:space="preserve">Tarde</t>
  </si>
  <si>
    <t xml:space="preserve">07:00–07:40</t>
  </si>
  <si>
    <t xml:space="preserve">13:00–13:40</t>
  </si>
  <si>
    <t xml:space="preserve">07:40–08:20</t>
  </si>
  <si>
    <t xml:space="preserve">13:40–14:20</t>
  </si>
  <si>
    <t xml:space="preserve">08:20–09:00</t>
  </si>
  <si>
    <t xml:space="preserve">14:20–15:00</t>
  </si>
  <si>
    <t xml:space="preserve">09:00–09:40</t>
  </si>
  <si>
    <t xml:space="preserve">15:00–15:40</t>
  </si>
  <si>
    <t xml:space="preserve">09:40–10:20</t>
  </si>
  <si>
    <t xml:space="preserve">15:40–16:20</t>
  </si>
  <si>
    <t xml:space="preserve">10:20–11:00</t>
  </si>
  <si>
    <t xml:space="preserve">16:20–17:00</t>
  </si>
  <si>
    <t xml:space="preserve">11:00–11:40</t>
  </si>
  <si>
    <t xml:space="preserve">17:00–17:40</t>
  </si>
  <si>
    <t xml:space="preserve">17:40–18:20</t>
  </si>
  <si>
    <t xml:space="preserve">18:20–19:00</t>
  </si>
  <si>
    <t xml:space="preserve">Psicóloga dos pais: sessões de 30 min; G = grupo (até 8 pais), I = individual</t>
  </si>
  <si>
    <t xml:space="preserve">Tipo</t>
  </si>
  <si>
    <t xml:space="preserve">I</t>
  </si>
  <si>
    <t xml:space="preserve">G</t>
  </si>
  <si>
    <t xml:space="preserve">Demanda estimada: 1 sessão a cada 2 visitas, cerca de 30 pais por dia com 300 crianças (27 com 270).</t>
  </si>
  <si>
    <t xml:space="preserve">Xadrez e capoeira: aulas de 1h no horário cheio, ao lado da visita (antes ou depois). Alternam a cada visita. Simulação com as 60 visitas do dia.</t>
  </si>
  <si>
    <t xml:space="preserve">Aula</t>
  </si>
  <si>
    <t xml:space="preserve">Xadrez (máx. 6)</t>
  </si>
  <si>
    <t xml:space="preserve">Capoeira (máx. 10)</t>
  </si>
  <si>
    <t xml:space="preserve">07:00–08:00</t>
  </si>
  <si>
    <t xml:space="preserve">08:00–09:00</t>
  </si>
  <si>
    <t xml:space="preserve">09:00–10:00</t>
  </si>
  <si>
    <t xml:space="preserve">10:00–11:00</t>
  </si>
  <si>
    <t xml:space="preserve">11:00–12:00</t>
  </si>
  <si>
    <t xml:space="preserve">13:00–14:00</t>
  </si>
  <si>
    <t xml:space="preserve">14:00–15:00</t>
  </si>
  <si>
    <t xml:space="preserve">15:00–16:00</t>
  </si>
  <si>
    <t xml:space="preserve">16:00–17:00</t>
  </si>
  <si>
    <t xml:space="preserve">17:00–18:00</t>
  </si>
  <si>
    <t xml:space="preserve">18:00–19:00</t>
  </si>
  <si>
    <t xml:space="preserve">Total/dia</t>
  </si>
  <si>
    <t xml:space="preserve">Espera média entre a visita e a aula: 4 min (máx. 30 min). Salas: 1 para xadrez, 1 para capoeira; 1 profissional por turno em cada.</t>
  </si>
  <si>
    <t xml:space="preserve">Oficinas profissionalizantes (turmas fixas): 1 sala, 7 encontros de 1h30 por dia. Distribuição PROVISÓRIA; o funcionamento das turmas ainda será definido.</t>
  </si>
  <si>
    <t xml:space="preserve">07:00–08:30</t>
  </si>
  <si>
    <t xml:space="preserve">Confeitaria e panificação (mães)</t>
  </si>
  <si>
    <t xml:space="preserve">Artesanato e personalizados (mães)</t>
  </si>
  <si>
    <t xml:space="preserve">Estética básica (mães)</t>
  </si>
  <si>
    <t xml:space="preserve">Elétrica e instalações básicas (pais)</t>
  </si>
  <si>
    <t xml:space="preserve">Informática e manutenção de celulares (pais)</t>
  </si>
  <si>
    <t xml:space="preserve">08:30–10:00</t>
  </si>
  <si>
    <t xml:space="preserve">Barbearia (pais)</t>
  </si>
  <si>
    <t xml:space="preserve">10:00–11:30</t>
  </si>
  <si>
    <t xml:space="preserve">13:00–14:30</t>
  </si>
  <si>
    <t xml:space="preserve">14:30–16:00</t>
  </si>
  <si>
    <t xml:space="preserve">16:00–17:30</t>
  </si>
  <si>
    <t xml:space="preserve">17:30–19:00</t>
  </si>
  <si>
    <t xml:space="preserve">Rosa = oficinas para mães; azul = oficinas para pais.</t>
  </si>
  <si>
    <t xml:space="preserve">Equipe e turnos (remuneração por turno: manhã 07h–12h e tarde 13h–19h)</t>
  </si>
  <si>
    <t xml:space="preserve">Função</t>
  </si>
  <si>
    <t xml:space="preserve">Profissionais por turno</t>
  </si>
  <si>
    <t xml:space="preserve">Turnos por dia</t>
  </si>
  <si>
    <t xml:space="preserve">Dias por ano</t>
  </si>
  <si>
    <t xml:space="preserve">Turnos por ano</t>
  </si>
  <si>
    <t xml:space="preserve">Fonoaudiologia</t>
  </si>
  <si>
    <t xml:space="preserve">Terapia Ocupacional</t>
  </si>
  <si>
    <t xml:space="preserve">Psicologia</t>
  </si>
  <si>
    <t xml:space="preserve">Psicopedagogia</t>
  </si>
  <si>
    <t xml:space="preserve">Psicomotricidade</t>
  </si>
  <si>
    <t xml:space="preserve">Terapia alimentar (nutrição)</t>
  </si>
  <si>
    <t xml:space="preserve">Psicóloga dos pais</t>
  </si>
  <si>
    <t xml:space="preserve">Odontologia (1 por dia)</t>
  </si>
  <si>
    <t xml:space="preserve">Capoeira (1 por vez)</t>
  </si>
  <si>
    <t xml:space="preserve">Xadrez (1 por turno)</t>
  </si>
  <si>
    <t xml:space="preserve">Médicos (3 especialidades, 1 dia/mês, 2 turnos)</t>
  </si>
  <si>
    <t xml:space="preserve">Total de turnos por ano</t>
  </si>
  <si>
    <t xml:space="preserve">Xadrez: 1 profissional por turno (2 por dia). Capoeira: 1 profissional por turno (confirmado).</t>
  </si>
  <si>
    <t xml:space="preserve">Dentista: pode ser profissionais diferentes por dia; o custo anual considera 1 por turno em todos os dias de atendimento.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</si>
</sst>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%"/>
    <numFmt numFmtId="167" formatCode="#,##0"/>
    <numFmt numFmtId="168" formatCode="0"/>
    <numFmt numFmtId="169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B7E1E0"/>
      </patternFill>
    </fill>
    <fill>
      <patternFill patternType="solid">
        <fgColor rgb="FFB7E1E0"/>
        <bgColor rgb="FFBDD7EE"/>
      </patternFill>
    </fill>
    <fill>
      <patternFill patternType="solid">
        <fgColor rgb="FFFFE699"/>
        <bgColor rgb="FFFFF2CC"/>
      </patternFill>
    </fill>
    <fill>
      <patternFill patternType="solid">
        <fgColor rgb="FFBDD7EE"/>
        <bgColor rgb="FFB7E1E0"/>
      </patternFill>
    </fill>
    <fill>
      <patternFill patternType="solid">
        <fgColor rgb="FFD9C3E8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BDD7EE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C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7E1E0"/>
      <rgbColor rgb="FFE2EFDA"/>
      <rgbColor rgb="FFFFE699"/>
      <rgbColor rgb="FFBDD7EE"/>
      <rgbColor rgb="FFFCE4D6"/>
      <rgbColor rgb="FFD9D9D9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C6E0B4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Calendário!B16</f>
        <v>246</v>
      </c>
      <c r="C5" s="4" t="s">
        <v>6</v>
      </c>
    </row>
    <row r="6" customFormat="false" ht="15" hidden="false" customHeight="false" outlineLevel="0" collapsed="false">
      <c r="A6" s="4" t="s">
        <v>7</v>
      </c>
      <c r="B6" s="4" t="s">
        <v>8</v>
      </c>
      <c r="C6" s="4" t="s">
        <v>9</v>
      </c>
    </row>
    <row r="7" customFormat="false" ht="15" hidden="false" customHeight="false" outlineLevel="0" collapsed="false">
      <c r="A7" s="4" t="s">
        <v>10</v>
      </c>
      <c r="B7" s="4" t="s">
        <v>11</v>
      </c>
      <c r="C7" s="4" t="s">
        <v>12</v>
      </c>
    </row>
    <row r="8" customFormat="false" ht="15" hidden="false" customHeight="false" outlineLevel="0" collapsed="false">
      <c r="A8" s="4" t="s">
        <v>13</v>
      </c>
      <c r="B8" s="5" t="n">
        <v>16</v>
      </c>
      <c r="C8" s="4" t="s">
        <v>14</v>
      </c>
    </row>
    <row r="9" customFormat="false" ht="15" hidden="false" customHeight="false" outlineLevel="0" collapsed="false">
      <c r="A9" s="4" t="s">
        <v>15</v>
      </c>
      <c r="B9" s="5" t="n">
        <v>4</v>
      </c>
      <c r="C9" s="4" t="s">
        <v>16</v>
      </c>
    </row>
    <row r="10" customFormat="false" ht="15" hidden="false" customHeight="false" outlineLevel="0" collapsed="false">
      <c r="A10" s="4" t="s">
        <v>17</v>
      </c>
      <c r="B10" s="4" t="n">
        <f aca="false">B8/B9</f>
        <v>4</v>
      </c>
      <c r="C10" s="4" t="s">
        <v>18</v>
      </c>
    </row>
    <row r="11" customFormat="false" ht="15" hidden="false" customHeight="false" outlineLevel="0" collapsed="false">
      <c r="A11" s="4" t="s">
        <v>19</v>
      </c>
      <c r="B11" s="5" t="n">
        <v>5</v>
      </c>
      <c r="C11" s="4" t="s">
        <v>20</v>
      </c>
    </row>
    <row r="12" customFormat="false" ht="15" hidden="false" customHeight="false" outlineLevel="0" collapsed="false">
      <c r="A12" s="4" t="s">
        <v>21</v>
      </c>
      <c r="B12" s="5" t="n">
        <v>60</v>
      </c>
      <c r="C12" s="4" t="s">
        <v>22</v>
      </c>
    </row>
    <row r="13" customFormat="false" ht="15" hidden="false" customHeight="false" outlineLevel="0" collapsed="false">
      <c r="A13" s="4" t="s">
        <v>23</v>
      </c>
      <c r="B13" s="4" t="n">
        <f aca="false">B8*0.5</f>
        <v>8</v>
      </c>
      <c r="C13" s="4" t="s">
        <v>24</v>
      </c>
    </row>
    <row r="15" customFormat="false" ht="15" hidden="false" customHeight="false" outlineLevel="0" collapsed="false">
      <c r="A15" s="6" t="s">
        <v>25</v>
      </c>
    </row>
    <row r="16" customFormat="false" ht="15" hidden="false" customHeight="false" outlineLevel="0" collapsed="false">
      <c r="A16" s="3" t="s">
        <v>26</v>
      </c>
      <c r="B16" s="3" t="s">
        <v>27</v>
      </c>
      <c r="C16" s="3" t="s">
        <v>28</v>
      </c>
    </row>
    <row r="17" customFormat="false" ht="15" hidden="false" customHeight="false" outlineLevel="0" collapsed="false">
      <c r="A17" s="4" t="s">
        <v>29</v>
      </c>
      <c r="B17" s="7" t="n">
        <v>0</v>
      </c>
      <c r="C17" s="7" t="n">
        <v>6</v>
      </c>
    </row>
    <row r="18" customFormat="false" ht="15" hidden="false" customHeight="false" outlineLevel="0" collapsed="false">
      <c r="A18" s="4" t="s">
        <v>30</v>
      </c>
      <c r="B18" s="8" t="n">
        <f aca="false">$B$12-B17</f>
        <v>60</v>
      </c>
      <c r="C18" s="8" t="n">
        <f aca="false">$B$12-C17</f>
        <v>54</v>
      </c>
    </row>
    <row r="19" customFormat="false" ht="15" hidden="false" customHeight="false" outlineLevel="0" collapsed="false">
      <c r="A19" s="4" t="s">
        <v>31</v>
      </c>
      <c r="B19" s="9" t="n">
        <f aca="false">B18*$B$11</f>
        <v>300</v>
      </c>
      <c r="C19" s="9" t="n">
        <f aca="false">C18*$B$11</f>
        <v>270</v>
      </c>
    </row>
    <row r="20" customFormat="false" ht="15" hidden="false" customHeight="false" outlineLevel="0" collapsed="false">
      <c r="A20" s="4" t="s">
        <v>32</v>
      </c>
      <c r="B20" s="10" t="n">
        <f aca="false">B18/$B$12</f>
        <v>1</v>
      </c>
      <c r="C20" s="10" t="n">
        <f aca="false">C18/$B$12</f>
        <v>0.9</v>
      </c>
    </row>
    <row r="21" customFormat="false" ht="15" hidden="false" customHeight="false" outlineLevel="0" collapsed="false">
      <c r="A21" s="4" t="s">
        <v>33</v>
      </c>
      <c r="B21" s="8" t="n">
        <f aca="false">B18*$B$9</f>
        <v>240</v>
      </c>
      <c r="C21" s="8" t="n">
        <f aca="false">C18*$B$9</f>
        <v>216</v>
      </c>
    </row>
    <row r="22" customFormat="false" ht="15" hidden="false" customHeight="false" outlineLevel="0" collapsed="false">
      <c r="A22" s="4" t="s">
        <v>34</v>
      </c>
      <c r="B22" s="11" t="n">
        <f aca="false">B19*$B$8*$B$5/20</f>
        <v>59040</v>
      </c>
      <c r="C22" s="11" t="n">
        <f aca="false">C19*$B$8*$B$5/20</f>
        <v>53136</v>
      </c>
    </row>
    <row r="23" customFormat="false" ht="15" hidden="false" customHeight="false" outlineLevel="0" collapsed="false">
      <c r="A23" s="4" t="s">
        <v>35</v>
      </c>
      <c r="B23" s="12" t="n">
        <f aca="false">$B$8*$B$5/20</f>
        <v>196.8</v>
      </c>
      <c r="C23" s="12" t="n">
        <f aca="false">$B$8*$B$5/20</f>
        <v>196.8</v>
      </c>
    </row>
    <row r="24" customFormat="false" ht="15" hidden="false" customHeight="false" outlineLevel="0" collapsed="false">
      <c r="A24" s="4" t="s">
        <v>36</v>
      </c>
      <c r="B24" s="10" t="n">
        <f aca="false">MIN(1,192/B19)</f>
        <v>0.64</v>
      </c>
      <c r="C24" s="10" t="n">
        <f aca="false">MIN(1,192/C19)</f>
        <v>0.711111111111111</v>
      </c>
    </row>
    <row r="25" customFormat="false" ht="26.85" hidden="false" customHeight="false" outlineLevel="0" collapsed="false">
      <c r="A25" s="4" t="s">
        <v>37</v>
      </c>
      <c r="B25" s="8" t="s">
        <v>38</v>
      </c>
      <c r="C25" s="8" t="s">
        <v>38</v>
      </c>
    </row>
    <row r="27" customFormat="false" ht="15" hidden="false" customHeight="false" outlineLevel="0" collapsed="false">
      <c r="A27" s="6" t="s">
        <v>39</v>
      </c>
    </row>
    <row r="28" customFormat="false" ht="15" hidden="false" customHeight="false" outlineLevel="0" collapsed="false">
      <c r="A28" s="2" t="s">
        <v>40</v>
      </c>
    </row>
    <row r="29" customFormat="false" ht="15" hidden="false" customHeight="false" outlineLevel="0" collapsed="false">
      <c r="A29" s="2" t="s">
        <v>41</v>
      </c>
    </row>
    <row r="30" customFormat="false" ht="15" hidden="false" customHeight="false" outlineLevel="0" collapsed="false">
      <c r="A30" s="2" t="s">
        <v>42</v>
      </c>
    </row>
    <row r="31" customFormat="false" ht="15" hidden="false" customHeight="false" outlineLevel="0" collapsed="false">
      <c r="A31" s="2" t="s">
        <v>43</v>
      </c>
    </row>
    <row r="32" customFormat="false" ht="15" hidden="false" customHeight="false" outlineLevel="0" collapsed="false">
      <c r="A32" s="2" t="s">
        <v>44</v>
      </c>
    </row>
    <row r="33" customFormat="false" ht="15" hidden="false" customHeight="false" outlineLevel="0" collapsed="false">
      <c r="A33" s="2" t="s">
        <v>45</v>
      </c>
    </row>
    <row r="34" customFormat="false" ht="15" hidden="false" customHeight="false" outlineLevel="0" collapsed="false">
      <c r="A34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4" min="2" style="0" width="3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48" hidden="false" customHeight="true" outlineLevel="0" collapsed="false">
      <c r="A4" s="3" t="s">
        <v>26</v>
      </c>
      <c r="B4" s="3" t="s">
        <v>49</v>
      </c>
      <c r="C4" s="3" t="s">
        <v>50</v>
      </c>
      <c r="D4" s="3" t="s">
        <v>51</v>
      </c>
    </row>
    <row r="5" customFormat="false" ht="15" hidden="false" customHeight="false" outlineLevel="0" collapsed="false">
      <c r="A5" s="4" t="s">
        <v>13</v>
      </c>
      <c r="B5" s="7" t="n">
        <v>24</v>
      </c>
      <c r="C5" s="7" t="n">
        <v>16</v>
      </c>
      <c r="D5" s="7" t="n">
        <v>24</v>
      </c>
    </row>
    <row r="6" customFormat="false" ht="15" hidden="false" customHeight="false" outlineLevel="0" collapsed="false">
      <c r="A6" s="4" t="s">
        <v>52</v>
      </c>
      <c r="B6" s="7" t="n">
        <v>2</v>
      </c>
      <c r="C6" s="7" t="n">
        <v>2</v>
      </c>
      <c r="D6" s="7" t="n">
        <v>3</v>
      </c>
    </row>
    <row r="7" customFormat="false" ht="15" hidden="false" customHeight="false" outlineLevel="0" collapsed="false">
      <c r="A7" s="4" t="s">
        <v>17</v>
      </c>
      <c r="B7" s="7" t="n">
        <v>6</v>
      </c>
      <c r="C7" s="7" t="n">
        <v>4</v>
      </c>
      <c r="D7" s="7" t="n">
        <v>4</v>
      </c>
    </row>
    <row r="8" customFormat="false" ht="15" hidden="false" customHeight="false" outlineLevel="0" collapsed="false">
      <c r="A8" s="4" t="s">
        <v>23</v>
      </c>
      <c r="B8" s="8" t="n">
        <f aca="false">B5*0.5</f>
        <v>12</v>
      </c>
      <c r="C8" s="8" t="n">
        <f aca="false">C5*0.5</f>
        <v>8</v>
      </c>
      <c r="D8" s="8" t="n">
        <f aca="false">D5*0.5</f>
        <v>12</v>
      </c>
    </row>
    <row r="9" customFormat="false" ht="15" hidden="false" customHeight="false" outlineLevel="0" collapsed="false">
      <c r="A9" s="4" t="s">
        <v>53</v>
      </c>
      <c r="B9" s="7" t="n">
        <v>60</v>
      </c>
      <c r="C9" s="7" t="n">
        <v>60</v>
      </c>
      <c r="D9" s="7" t="n">
        <v>38</v>
      </c>
    </row>
    <row r="10" customFormat="false" ht="15" hidden="false" customHeight="false" outlineLevel="0" collapsed="false">
      <c r="A10" s="4" t="s">
        <v>54</v>
      </c>
      <c r="B10" s="9" t="n">
        <v>200</v>
      </c>
      <c r="C10" s="9" t="n">
        <f aca="false">C9*5</f>
        <v>300</v>
      </c>
      <c r="D10" s="9" t="n">
        <f aca="false">D9*5</f>
        <v>190</v>
      </c>
    </row>
    <row r="11" customFormat="false" ht="15" hidden="false" customHeight="false" outlineLevel="0" collapsed="false">
      <c r="A11" s="4" t="s">
        <v>55</v>
      </c>
      <c r="B11" s="7" t="n">
        <v>6</v>
      </c>
      <c r="C11" s="7" t="n">
        <v>6</v>
      </c>
      <c r="D11" s="7" t="n">
        <v>4</v>
      </c>
    </row>
    <row r="12" customFormat="false" ht="15" hidden="false" customHeight="false" outlineLevel="0" collapsed="false">
      <c r="A12" s="4" t="s">
        <v>56</v>
      </c>
      <c r="B12" s="9" t="n">
        <v>180</v>
      </c>
      <c r="C12" s="9" t="n">
        <f aca="false">(C9-C11)*5</f>
        <v>270</v>
      </c>
      <c r="D12" s="9" t="n">
        <f aca="false">(D9-D11)*5</f>
        <v>170</v>
      </c>
    </row>
    <row r="13" customFormat="false" ht="15" hidden="false" customHeight="false" outlineLevel="0" collapsed="false">
      <c r="A13" s="4" t="s">
        <v>57</v>
      </c>
      <c r="B13" s="9" t="n">
        <v>180</v>
      </c>
      <c r="C13" s="9" t="n">
        <f aca="false">C10</f>
        <v>300</v>
      </c>
      <c r="D13" s="9" t="n">
        <f aca="false">D10</f>
        <v>190</v>
      </c>
    </row>
    <row r="14" customFormat="false" ht="15" hidden="false" customHeight="false" outlineLevel="0" collapsed="false">
      <c r="A14" s="4" t="s">
        <v>35</v>
      </c>
      <c r="B14" s="11" t="n">
        <f aca="false">B5*Resumo!$B$5/20</f>
        <v>295.2</v>
      </c>
      <c r="C14" s="11" t="n">
        <f aca="false">C5*Resumo!$B$5/20</f>
        <v>196.8</v>
      </c>
      <c r="D14" s="11" t="n">
        <f aca="false">D5*Resumo!$B$5/20</f>
        <v>295.2</v>
      </c>
    </row>
    <row r="15" customFormat="false" ht="15" hidden="false" customHeight="false" outlineLevel="0" collapsed="false">
      <c r="A15" s="4" t="s">
        <v>58</v>
      </c>
      <c r="B15" s="11" t="n">
        <f aca="false">B10*B14</f>
        <v>59040</v>
      </c>
      <c r="C15" s="11" t="n">
        <f aca="false">C10*C14</f>
        <v>59040</v>
      </c>
      <c r="D15" s="11" t="n">
        <f aca="false">D10*D14</f>
        <v>56088</v>
      </c>
    </row>
    <row r="16" customFormat="false" ht="15" hidden="false" customHeight="false" outlineLevel="0" collapsed="false">
      <c r="A16" s="4" t="s">
        <v>59</v>
      </c>
      <c r="B16" s="10" t="n">
        <f aca="false">MIN(1,192/B10)</f>
        <v>0.96</v>
      </c>
      <c r="C16" s="10" t="n">
        <f aca="false">MIN(1,192/C10)</f>
        <v>0.64</v>
      </c>
      <c r="D16" s="10" t="n">
        <f aca="false">MIN(1,192/D10)</f>
        <v>1</v>
      </c>
    </row>
    <row r="17" customFormat="false" ht="15" hidden="false" customHeight="false" outlineLevel="0" collapsed="false">
      <c r="A17" s="4" t="s">
        <v>60</v>
      </c>
      <c r="B17" s="13" t="n">
        <f aca="false">B10/16/12</f>
        <v>1.04166666666667</v>
      </c>
      <c r="C17" s="13" t="n">
        <f aca="false">C10/16/12</f>
        <v>1.5625</v>
      </c>
      <c r="D17" s="13" t="n">
        <f aca="false">D10/16/12</f>
        <v>0.989583333333333</v>
      </c>
    </row>
    <row r="19" customFormat="false" ht="15" hidden="false" customHeight="false" outlineLevel="0" collapsed="false">
      <c r="A19" s="6" t="s">
        <v>39</v>
      </c>
    </row>
    <row r="20" customFormat="false" ht="15" hidden="false" customHeight="false" outlineLevel="0" collapsed="false">
      <c r="A20" s="2" t="s">
        <v>61</v>
      </c>
    </row>
    <row r="21" customFormat="false" ht="15" hidden="false" customHeight="false" outlineLevel="0" collapsed="false">
      <c r="A21" s="2" t="s">
        <v>62</v>
      </c>
    </row>
    <row r="22" customFormat="false" ht="15" hidden="false" customHeight="false" outlineLevel="0" collapsed="false">
      <c r="A22" s="2" t="s">
        <v>63</v>
      </c>
    </row>
    <row r="23" customFormat="false" ht="15" hidden="false" customHeight="false" outlineLevel="0" collapsed="false">
      <c r="A23" s="2" t="s">
        <v>64</v>
      </c>
    </row>
    <row r="24" customFormat="false" ht="15" hidden="false" customHeight="false" outlineLevel="0" collapsed="false">
      <c r="A24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66</v>
      </c>
    </row>
    <row r="3" customFormat="false" ht="26.85" hidden="false" customHeight="false" outlineLevel="0" collapsed="false">
      <c r="A3" s="3" t="s">
        <v>67</v>
      </c>
      <c r="B3" s="3" t="s">
        <v>68</v>
      </c>
      <c r="D3" s="6" t="s">
        <v>69</v>
      </c>
    </row>
    <row r="4" customFormat="false" ht="15" hidden="false" customHeight="false" outlineLevel="0" collapsed="false">
      <c r="A4" s="4" t="s">
        <v>70</v>
      </c>
      <c r="B4" s="5" t="n">
        <v>22</v>
      </c>
      <c r="D4" s="3" t="s">
        <v>71</v>
      </c>
      <c r="E4" s="3" t="s">
        <v>72</v>
      </c>
      <c r="F4" s="3" t="s">
        <v>73</v>
      </c>
    </row>
    <row r="5" customFormat="false" ht="15" hidden="false" customHeight="false" outlineLevel="0" collapsed="false">
      <c r="A5" s="4" t="s">
        <v>74</v>
      </c>
      <c r="B5" s="5" t="n">
        <v>21</v>
      </c>
      <c r="D5" s="4" t="s">
        <v>75</v>
      </c>
      <c r="E5" s="4" t="s">
        <v>76</v>
      </c>
      <c r="F5" s="4" t="s">
        <v>77</v>
      </c>
    </row>
    <row r="6" customFormat="false" ht="15" hidden="false" customHeight="false" outlineLevel="0" collapsed="false">
      <c r="A6" s="4" t="s">
        <v>78</v>
      </c>
      <c r="B6" s="5" t="n">
        <v>21</v>
      </c>
      <c r="D6" s="4" t="s">
        <v>79</v>
      </c>
      <c r="E6" s="4" t="s">
        <v>80</v>
      </c>
      <c r="F6" s="4" t="s">
        <v>81</v>
      </c>
    </row>
    <row r="7" customFormat="false" ht="15" hidden="false" customHeight="false" outlineLevel="0" collapsed="false">
      <c r="A7" s="4" t="s">
        <v>82</v>
      </c>
      <c r="B7" s="5" t="n">
        <v>21</v>
      </c>
      <c r="D7" s="4" t="s">
        <v>83</v>
      </c>
      <c r="E7" s="4" t="s">
        <v>80</v>
      </c>
      <c r="F7" s="4" t="s">
        <v>84</v>
      </c>
    </row>
    <row r="8" customFormat="false" ht="15" hidden="false" customHeight="false" outlineLevel="0" collapsed="false">
      <c r="A8" s="4" t="s">
        <v>85</v>
      </c>
      <c r="B8" s="5" t="n">
        <v>19</v>
      </c>
      <c r="D8" s="4" t="s">
        <v>86</v>
      </c>
      <c r="E8" s="4" t="s">
        <v>80</v>
      </c>
      <c r="F8" s="4" t="s">
        <v>87</v>
      </c>
    </row>
    <row r="9" customFormat="false" ht="15" hidden="false" customHeight="false" outlineLevel="0" collapsed="false">
      <c r="A9" s="4" t="s">
        <v>88</v>
      </c>
      <c r="B9" s="5" t="n">
        <v>21</v>
      </c>
      <c r="D9" s="4" t="s">
        <v>89</v>
      </c>
      <c r="E9" s="4" t="s">
        <v>90</v>
      </c>
      <c r="F9" s="4" t="s">
        <v>91</v>
      </c>
    </row>
    <row r="10" customFormat="false" ht="15" hidden="false" customHeight="false" outlineLevel="0" collapsed="false">
      <c r="A10" s="4" t="s">
        <v>92</v>
      </c>
      <c r="B10" s="5" t="n">
        <v>20</v>
      </c>
      <c r="D10" s="4" t="s">
        <v>93</v>
      </c>
      <c r="E10" s="4" t="s">
        <v>94</v>
      </c>
      <c r="F10" s="4" t="s">
        <v>95</v>
      </c>
    </row>
    <row r="11" customFormat="false" ht="15" hidden="false" customHeight="false" outlineLevel="0" collapsed="false">
      <c r="A11" s="4" t="s">
        <v>96</v>
      </c>
      <c r="B11" s="5" t="n">
        <v>18</v>
      </c>
      <c r="D11" s="4" t="s">
        <v>97</v>
      </c>
      <c r="E11" s="4" t="s">
        <v>90</v>
      </c>
      <c r="F11" s="4" t="s">
        <v>98</v>
      </c>
    </row>
    <row r="12" customFormat="false" ht="15" hidden="false" customHeight="false" outlineLevel="0" collapsed="false">
      <c r="A12" s="4" t="s">
        <v>99</v>
      </c>
      <c r="B12" s="5" t="n">
        <v>21</v>
      </c>
      <c r="D12" s="4" t="s">
        <v>100</v>
      </c>
      <c r="E12" s="4" t="s">
        <v>90</v>
      </c>
      <c r="F12" s="4" t="s">
        <v>101</v>
      </c>
    </row>
    <row r="13" customFormat="false" ht="15" hidden="false" customHeight="false" outlineLevel="0" collapsed="false">
      <c r="A13" s="4" t="s">
        <v>102</v>
      </c>
      <c r="B13" s="5" t="n">
        <v>21</v>
      </c>
      <c r="D13" s="4" t="s">
        <v>103</v>
      </c>
      <c r="E13" s="4" t="s">
        <v>80</v>
      </c>
      <c r="F13" s="4" t="s">
        <v>104</v>
      </c>
    </row>
    <row r="14" customFormat="false" ht="15" hidden="false" customHeight="false" outlineLevel="0" collapsed="false">
      <c r="A14" s="4" t="s">
        <v>105</v>
      </c>
      <c r="B14" s="5" t="n">
        <v>20</v>
      </c>
      <c r="D14" s="4" t="s">
        <v>106</v>
      </c>
      <c r="E14" s="4" t="s">
        <v>94</v>
      </c>
      <c r="F14" s="4" t="s">
        <v>104</v>
      </c>
    </row>
    <row r="15" customFormat="false" ht="15" hidden="false" customHeight="false" outlineLevel="0" collapsed="false">
      <c r="A15" s="4" t="s">
        <v>107</v>
      </c>
      <c r="B15" s="5" t="n">
        <f aca="false">21+IF($B$19="S",1,0)</f>
        <v>21</v>
      </c>
      <c r="D15" s="4" t="s">
        <v>108</v>
      </c>
      <c r="E15" s="4" t="s">
        <v>76</v>
      </c>
      <c r="F15" s="4" t="s">
        <v>109</v>
      </c>
    </row>
    <row r="16" customFormat="false" ht="15" hidden="false" customHeight="false" outlineLevel="0" collapsed="false">
      <c r="A16" s="14" t="s">
        <v>110</v>
      </c>
      <c r="B16" s="14" t="n">
        <f aca="false">SUM(B4:B15)</f>
        <v>246</v>
      </c>
      <c r="D16" s="4" t="s">
        <v>111</v>
      </c>
      <c r="E16" s="4" t="s">
        <v>90</v>
      </c>
      <c r="F16" s="4" t="s">
        <v>112</v>
      </c>
    </row>
    <row r="17" customFormat="false" ht="15" hidden="false" customHeight="false" outlineLevel="0" collapsed="false">
      <c r="D17" s="4" t="s">
        <v>113</v>
      </c>
      <c r="E17" s="4" t="s">
        <v>76</v>
      </c>
      <c r="F17" s="4" t="s">
        <v>114</v>
      </c>
    </row>
    <row r="18" customFormat="false" ht="15" hidden="false" customHeight="false" outlineLevel="0" collapsed="false">
      <c r="A18" s="2" t="s">
        <v>115</v>
      </c>
      <c r="D18" s="4" t="s">
        <v>116</v>
      </c>
      <c r="E18" s="4" t="s">
        <v>117</v>
      </c>
      <c r="F18" s="4" t="s">
        <v>118</v>
      </c>
    </row>
    <row r="19" customFormat="false" ht="15" hidden="false" customHeight="false" outlineLevel="0" collapsed="false">
      <c r="A19" s="14" t="s">
        <v>119</v>
      </c>
      <c r="B19" s="15" t="s">
        <v>120</v>
      </c>
      <c r="D19" s="4" t="s">
        <v>121</v>
      </c>
      <c r="E19" s="4" t="s">
        <v>117</v>
      </c>
      <c r="F19" s="4" t="s">
        <v>122</v>
      </c>
    </row>
    <row r="20" customFormat="false" ht="15" hidden="false" customHeight="false" outlineLevel="0" collapsed="false">
      <c r="A20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4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43.5" hidden="false" customHeight="true" outlineLevel="0" collapsed="false">
      <c r="A4" s="3" t="s">
        <v>126</v>
      </c>
      <c r="B4" s="3" t="s">
        <v>127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</row>
    <row r="5" customFormat="false" ht="15" hidden="false" customHeight="false" outlineLevel="0" collapsed="false">
      <c r="A5" s="9" t="s">
        <v>140</v>
      </c>
      <c r="B5" s="16" t="s">
        <v>141</v>
      </c>
      <c r="C5" s="8"/>
      <c r="D5" s="17" t="s">
        <v>142</v>
      </c>
      <c r="E5" s="8"/>
      <c r="F5" s="16" t="s">
        <v>143</v>
      </c>
      <c r="G5" s="8"/>
      <c r="H5" s="8"/>
      <c r="I5" s="8"/>
      <c r="J5" s="17" t="s">
        <v>144</v>
      </c>
      <c r="K5" s="17" t="s">
        <v>145</v>
      </c>
      <c r="L5" s="8"/>
      <c r="M5" s="16" t="s">
        <v>146</v>
      </c>
      <c r="N5" s="8"/>
    </row>
    <row r="6" customFormat="false" ht="15" hidden="false" customHeight="false" outlineLevel="0" collapsed="false">
      <c r="A6" s="9" t="s">
        <v>147</v>
      </c>
      <c r="B6" s="16" t="s">
        <v>143</v>
      </c>
      <c r="C6" s="8"/>
      <c r="D6" s="17" t="s">
        <v>144</v>
      </c>
      <c r="E6" s="17" t="s">
        <v>148</v>
      </c>
      <c r="F6" s="16" t="s">
        <v>146</v>
      </c>
      <c r="G6" s="17" t="s">
        <v>145</v>
      </c>
      <c r="H6" s="8"/>
      <c r="I6" s="8"/>
      <c r="J6" s="8"/>
      <c r="K6" s="8"/>
      <c r="L6" s="18" t="s">
        <v>149</v>
      </c>
      <c r="M6" s="16" t="s">
        <v>141</v>
      </c>
      <c r="N6" s="17" t="s">
        <v>142</v>
      </c>
    </row>
    <row r="7" customFormat="false" ht="15" hidden="false" customHeight="false" outlineLevel="0" collapsed="false">
      <c r="A7" s="9" t="s">
        <v>150</v>
      </c>
      <c r="B7" s="19" t="s">
        <v>151</v>
      </c>
      <c r="C7" s="19" t="s">
        <v>152</v>
      </c>
      <c r="D7" s="17" t="s">
        <v>145</v>
      </c>
      <c r="E7" s="18" t="s">
        <v>149</v>
      </c>
      <c r="F7" s="17" t="s">
        <v>142</v>
      </c>
      <c r="G7" s="17" t="s">
        <v>144</v>
      </c>
      <c r="H7" s="16" t="s">
        <v>141</v>
      </c>
      <c r="I7" s="16" t="s">
        <v>146</v>
      </c>
      <c r="J7" s="20" t="s">
        <v>153</v>
      </c>
      <c r="K7" s="20" t="s">
        <v>154</v>
      </c>
      <c r="L7" s="18" t="s">
        <v>155</v>
      </c>
      <c r="M7" s="16" t="s">
        <v>143</v>
      </c>
      <c r="N7" s="17" t="s">
        <v>148</v>
      </c>
    </row>
    <row r="8" customFormat="false" ht="15" hidden="false" customHeight="false" outlineLevel="0" collapsed="false">
      <c r="A8" s="9" t="s">
        <v>156</v>
      </c>
      <c r="B8" s="16" t="s">
        <v>146</v>
      </c>
      <c r="C8" s="20" t="s">
        <v>154</v>
      </c>
      <c r="D8" s="19" t="s">
        <v>151</v>
      </c>
      <c r="E8" s="18" t="s">
        <v>155</v>
      </c>
      <c r="F8" s="16" t="s">
        <v>141</v>
      </c>
      <c r="G8" s="18" t="s">
        <v>149</v>
      </c>
      <c r="H8" s="16" t="s">
        <v>143</v>
      </c>
      <c r="I8" s="19" t="s">
        <v>152</v>
      </c>
      <c r="J8" s="17" t="s">
        <v>142</v>
      </c>
      <c r="K8" s="17" t="s">
        <v>148</v>
      </c>
      <c r="L8" s="20" t="s">
        <v>153</v>
      </c>
      <c r="M8" s="17" t="s">
        <v>144</v>
      </c>
      <c r="N8" s="17" t="s">
        <v>145</v>
      </c>
    </row>
    <row r="9" customFormat="false" ht="15" hidden="false" customHeight="false" outlineLevel="0" collapsed="false">
      <c r="A9" s="9" t="s">
        <v>157</v>
      </c>
      <c r="B9" s="20" t="s">
        <v>153</v>
      </c>
      <c r="C9" s="20" t="s">
        <v>158</v>
      </c>
      <c r="D9" s="19" t="s">
        <v>152</v>
      </c>
      <c r="E9" s="19" t="s">
        <v>159</v>
      </c>
      <c r="F9" s="17" t="s">
        <v>148</v>
      </c>
      <c r="G9" s="20" t="s">
        <v>154</v>
      </c>
      <c r="H9" s="18" t="s">
        <v>149</v>
      </c>
      <c r="I9" s="18" t="s">
        <v>155</v>
      </c>
      <c r="J9" s="19" t="s">
        <v>151</v>
      </c>
      <c r="K9" s="17" t="s">
        <v>160</v>
      </c>
      <c r="L9" s="8"/>
      <c r="M9" s="8"/>
      <c r="N9" s="8"/>
    </row>
    <row r="10" customFormat="false" ht="15" hidden="false" customHeight="false" outlineLevel="0" collapsed="false">
      <c r="A10" s="9" t="s">
        <v>161</v>
      </c>
      <c r="B10" s="19" t="s">
        <v>159</v>
      </c>
      <c r="C10" s="21" t="s">
        <v>162</v>
      </c>
      <c r="D10" s="8"/>
      <c r="E10" s="8"/>
      <c r="F10" s="18" t="s">
        <v>155</v>
      </c>
      <c r="G10" s="20" t="s">
        <v>153</v>
      </c>
      <c r="H10" s="19" t="s">
        <v>151</v>
      </c>
      <c r="I10" s="8"/>
      <c r="J10" s="19" t="s">
        <v>152</v>
      </c>
      <c r="K10" s="20" t="s">
        <v>158</v>
      </c>
      <c r="L10" s="20" t="s">
        <v>154</v>
      </c>
      <c r="M10" s="17" t="s">
        <v>160</v>
      </c>
      <c r="N10" s="16" t="s">
        <v>163</v>
      </c>
    </row>
    <row r="11" customFormat="false" ht="15" hidden="false" customHeight="false" outlineLevel="0" collapsed="false">
      <c r="A11" s="9" t="s">
        <v>164</v>
      </c>
      <c r="B11" s="16" t="s">
        <v>165</v>
      </c>
      <c r="C11" s="21" t="s">
        <v>166</v>
      </c>
      <c r="D11" s="17" t="s">
        <v>160</v>
      </c>
      <c r="E11" s="18" t="s">
        <v>167</v>
      </c>
      <c r="F11" s="16" t="s">
        <v>163</v>
      </c>
      <c r="G11" s="16" t="s">
        <v>168</v>
      </c>
      <c r="H11" s="19" t="s">
        <v>159</v>
      </c>
      <c r="I11" s="19" t="s">
        <v>169</v>
      </c>
      <c r="J11" s="19" t="s">
        <v>170</v>
      </c>
      <c r="K11" s="20" t="s">
        <v>171</v>
      </c>
      <c r="L11" s="20" t="s">
        <v>158</v>
      </c>
      <c r="M11" s="21" t="s">
        <v>162</v>
      </c>
      <c r="N11" s="21" t="s">
        <v>172</v>
      </c>
    </row>
    <row r="12" customFormat="false" ht="15" hidden="false" customHeight="false" outlineLevel="0" collapsed="false">
      <c r="A12" s="9" t="s">
        <v>173</v>
      </c>
      <c r="B12" s="19" t="s">
        <v>169</v>
      </c>
      <c r="C12" s="16" t="s">
        <v>168</v>
      </c>
      <c r="D12" s="21" t="s">
        <v>162</v>
      </c>
      <c r="E12" s="19" t="s">
        <v>170</v>
      </c>
      <c r="F12" s="20" t="s">
        <v>158</v>
      </c>
      <c r="G12" s="17" t="s">
        <v>160</v>
      </c>
      <c r="H12" s="16" t="s">
        <v>163</v>
      </c>
      <c r="I12" s="18" t="s">
        <v>167</v>
      </c>
      <c r="J12" s="19" t="s">
        <v>159</v>
      </c>
      <c r="K12" s="21" t="s">
        <v>172</v>
      </c>
      <c r="L12" s="20" t="s">
        <v>171</v>
      </c>
      <c r="M12" s="16" t="s">
        <v>165</v>
      </c>
      <c r="N12" s="21" t="s">
        <v>166</v>
      </c>
    </row>
    <row r="13" customFormat="false" ht="15" hidden="false" customHeight="false" outlineLevel="0" collapsed="false">
      <c r="A13" s="9" t="s">
        <v>174</v>
      </c>
      <c r="B13" s="16" t="s">
        <v>163</v>
      </c>
      <c r="C13" s="19" t="s">
        <v>170</v>
      </c>
      <c r="D13" s="19" t="s">
        <v>169</v>
      </c>
      <c r="E13" s="21" t="s">
        <v>172</v>
      </c>
      <c r="F13" s="16" t="s">
        <v>165</v>
      </c>
      <c r="G13" s="20" t="s">
        <v>171</v>
      </c>
      <c r="H13" s="16" t="s">
        <v>168</v>
      </c>
      <c r="I13" s="8"/>
      <c r="J13" s="21" t="s">
        <v>162</v>
      </c>
      <c r="K13" s="21" t="s">
        <v>166</v>
      </c>
      <c r="L13" s="18" t="s">
        <v>167</v>
      </c>
      <c r="M13" s="8"/>
      <c r="N13" s="8"/>
    </row>
    <row r="14" customFormat="false" ht="15" hidden="false" customHeight="false" outlineLevel="0" collapsed="false">
      <c r="A14" s="9" t="s">
        <v>175</v>
      </c>
      <c r="B14" s="21" t="s">
        <v>172</v>
      </c>
      <c r="C14" s="20" t="s">
        <v>171</v>
      </c>
      <c r="D14" s="21" t="s">
        <v>166</v>
      </c>
      <c r="E14" s="8"/>
      <c r="F14" s="18" t="s">
        <v>167</v>
      </c>
      <c r="G14" s="8"/>
      <c r="H14" s="19" t="s">
        <v>170</v>
      </c>
      <c r="I14" s="16" t="s">
        <v>165</v>
      </c>
      <c r="J14" s="19" t="s">
        <v>169</v>
      </c>
      <c r="K14" s="8"/>
      <c r="L14" s="8"/>
      <c r="M14" s="16" t="s">
        <v>168</v>
      </c>
      <c r="N14" s="8"/>
    </row>
    <row r="15" customFormat="false" ht="15" hidden="false" customHeight="false" outlineLevel="0" collapsed="false">
      <c r="A15" s="22" t="s">
        <v>176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customFormat="false" ht="15" hidden="false" customHeight="false" outlineLevel="0" collapsed="false">
      <c r="A16" s="9" t="s">
        <v>177</v>
      </c>
      <c r="B16" s="21" t="s">
        <v>178</v>
      </c>
      <c r="C16" s="21" t="s">
        <v>179</v>
      </c>
      <c r="D16" s="19" t="s">
        <v>180</v>
      </c>
      <c r="E16" s="19" t="s">
        <v>181</v>
      </c>
      <c r="F16" s="8"/>
      <c r="G16" s="8"/>
      <c r="H16" s="18" t="s">
        <v>182</v>
      </c>
      <c r="I16" s="8"/>
      <c r="J16" s="20" t="s">
        <v>183</v>
      </c>
      <c r="K16" s="8"/>
      <c r="L16" s="18" t="s">
        <v>184</v>
      </c>
      <c r="M16" s="21" t="s">
        <v>185</v>
      </c>
      <c r="N16" s="8"/>
    </row>
    <row r="17" customFormat="false" ht="15" hidden="false" customHeight="false" outlineLevel="0" collapsed="false">
      <c r="A17" s="9" t="s">
        <v>186</v>
      </c>
      <c r="B17" s="19" t="s">
        <v>180</v>
      </c>
      <c r="C17" s="20" t="s">
        <v>183</v>
      </c>
      <c r="D17" s="21" t="s">
        <v>185</v>
      </c>
      <c r="E17" s="21" t="s">
        <v>179</v>
      </c>
      <c r="F17" s="18" t="s">
        <v>182</v>
      </c>
      <c r="G17" s="16" t="s">
        <v>187</v>
      </c>
      <c r="H17" s="18" t="s">
        <v>184</v>
      </c>
      <c r="I17" s="8"/>
      <c r="J17" s="19" t="s">
        <v>181</v>
      </c>
      <c r="K17" s="21" t="s">
        <v>178</v>
      </c>
      <c r="L17" s="8"/>
      <c r="M17" s="8"/>
      <c r="N17" s="8"/>
    </row>
    <row r="18" customFormat="false" ht="15" hidden="false" customHeight="false" outlineLevel="0" collapsed="false">
      <c r="A18" s="9" t="s">
        <v>188</v>
      </c>
      <c r="B18" s="21" t="s">
        <v>185</v>
      </c>
      <c r="C18" s="21" t="s">
        <v>189</v>
      </c>
      <c r="D18" s="18" t="s">
        <v>184</v>
      </c>
      <c r="E18" s="21" t="s">
        <v>178</v>
      </c>
      <c r="F18" s="20" t="s">
        <v>183</v>
      </c>
      <c r="G18" s="8"/>
      <c r="H18" s="19" t="s">
        <v>181</v>
      </c>
      <c r="I18" s="19" t="s">
        <v>190</v>
      </c>
      <c r="J18" s="19" t="s">
        <v>180</v>
      </c>
      <c r="K18" s="21" t="s">
        <v>191</v>
      </c>
      <c r="L18" s="18" t="s">
        <v>182</v>
      </c>
      <c r="M18" s="21" t="s">
        <v>179</v>
      </c>
      <c r="N18" s="16" t="s">
        <v>187</v>
      </c>
    </row>
    <row r="19" customFormat="false" ht="15" hidden="false" customHeight="false" outlineLevel="0" collapsed="false">
      <c r="A19" s="9" t="s">
        <v>192</v>
      </c>
      <c r="B19" s="19" t="s">
        <v>181</v>
      </c>
      <c r="C19" s="21" t="s">
        <v>191</v>
      </c>
      <c r="D19" s="18" t="s">
        <v>182</v>
      </c>
      <c r="E19" s="19" t="s">
        <v>190</v>
      </c>
      <c r="F19" s="18" t="s">
        <v>184</v>
      </c>
      <c r="G19" s="18" t="s">
        <v>193</v>
      </c>
      <c r="H19" s="19" t="s">
        <v>180</v>
      </c>
      <c r="I19" s="16" t="s">
        <v>187</v>
      </c>
      <c r="J19" s="21" t="s">
        <v>185</v>
      </c>
      <c r="K19" s="21" t="s">
        <v>179</v>
      </c>
      <c r="L19" s="20" t="s">
        <v>183</v>
      </c>
      <c r="M19" s="21" t="s">
        <v>178</v>
      </c>
      <c r="N19" s="21" t="s">
        <v>189</v>
      </c>
    </row>
    <row r="20" customFormat="false" ht="15" hidden="false" customHeight="false" outlineLevel="0" collapsed="false">
      <c r="A20" s="9" t="s">
        <v>194</v>
      </c>
      <c r="B20" s="16" t="s">
        <v>187</v>
      </c>
      <c r="C20" s="19" t="s">
        <v>195</v>
      </c>
      <c r="D20" s="21" t="s">
        <v>189</v>
      </c>
      <c r="E20" s="17" t="s">
        <v>196</v>
      </c>
      <c r="F20" s="18" t="s">
        <v>197</v>
      </c>
      <c r="G20" s="17" t="s">
        <v>198</v>
      </c>
      <c r="H20" s="18" t="s">
        <v>193</v>
      </c>
      <c r="I20" s="19" t="s">
        <v>199</v>
      </c>
      <c r="J20" s="19" t="s">
        <v>190</v>
      </c>
      <c r="K20" s="20" t="s">
        <v>200</v>
      </c>
      <c r="L20" s="20" t="s">
        <v>201</v>
      </c>
      <c r="M20" s="21" t="s">
        <v>191</v>
      </c>
      <c r="N20" s="16" t="s">
        <v>202</v>
      </c>
    </row>
    <row r="21" customFormat="false" ht="15" hidden="false" customHeight="false" outlineLevel="0" collapsed="false">
      <c r="A21" s="9" t="s">
        <v>203</v>
      </c>
      <c r="B21" s="19" t="s">
        <v>190</v>
      </c>
      <c r="C21" s="16" t="s">
        <v>202</v>
      </c>
      <c r="D21" s="21" t="s">
        <v>191</v>
      </c>
      <c r="E21" s="19" t="s">
        <v>199</v>
      </c>
      <c r="F21" s="20" t="s">
        <v>200</v>
      </c>
      <c r="G21" s="17" t="s">
        <v>196</v>
      </c>
      <c r="H21" s="19" t="s">
        <v>195</v>
      </c>
      <c r="I21" s="18" t="s">
        <v>197</v>
      </c>
      <c r="J21" s="21" t="s">
        <v>189</v>
      </c>
      <c r="K21" s="20" t="s">
        <v>201</v>
      </c>
      <c r="L21" s="18" t="s">
        <v>193</v>
      </c>
      <c r="M21" s="17" t="s">
        <v>198</v>
      </c>
      <c r="N21" s="8"/>
    </row>
    <row r="22" customFormat="false" ht="15" hidden="false" customHeight="false" outlineLevel="0" collapsed="false">
      <c r="A22" s="9" t="s">
        <v>204</v>
      </c>
      <c r="B22" s="19" t="s">
        <v>199</v>
      </c>
      <c r="C22" s="20" t="s">
        <v>201</v>
      </c>
      <c r="D22" s="18" t="s">
        <v>193</v>
      </c>
      <c r="E22" s="18" t="s">
        <v>197</v>
      </c>
      <c r="F22" s="16" t="s">
        <v>202</v>
      </c>
      <c r="G22" s="16" t="s">
        <v>205</v>
      </c>
      <c r="H22" s="19" t="s">
        <v>206</v>
      </c>
      <c r="I22" s="8"/>
      <c r="J22" s="19" t="s">
        <v>195</v>
      </c>
      <c r="K22" s="17" t="s">
        <v>198</v>
      </c>
      <c r="L22" s="20" t="s">
        <v>200</v>
      </c>
      <c r="M22" s="17" t="s">
        <v>196</v>
      </c>
      <c r="N22" s="8"/>
    </row>
    <row r="23" customFormat="false" ht="15" hidden="false" customHeight="false" outlineLevel="0" collapsed="false">
      <c r="A23" s="9" t="s">
        <v>207</v>
      </c>
      <c r="B23" s="20" t="s">
        <v>200</v>
      </c>
      <c r="C23" s="19" t="s">
        <v>206</v>
      </c>
      <c r="D23" s="19" t="s">
        <v>195</v>
      </c>
      <c r="E23" s="17" t="s">
        <v>198</v>
      </c>
      <c r="F23" s="20" t="s">
        <v>201</v>
      </c>
      <c r="G23" s="16" t="s">
        <v>208</v>
      </c>
      <c r="H23" s="16" t="s">
        <v>202</v>
      </c>
      <c r="I23" s="19" t="s">
        <v>209</v>
      </c>
      <c r="J23" s="19" t="s">
        <v>199</v>
      </c>
      <c r="K23" s="17" t="s">
        <v>196</v>
      </c>
      <c r="L23" s="18" t="s">
        <v>197</v>
      </c>
      <c r="M23" s="16" t="s">
        <v>205</v>
      </c>
      <c r="N23" s="8"/>
    </row>
    <row r="24" customFormat="false" ht="15" hidden="false" customHeight="false" outlineLevel="0" collapsed="false">
      <c r="A24" s="9" t="s">
        <v>210</v>
      </c>
      <c r="B24" s="16" t="s">
        <v>205</v>
      </c>
      <c r="C24" s="21" t="s">
        <v>211</v>
      </c>
      <c r="D24" s="19" t="s">
        <v>206</v>
      </c>
      <c r="E24" s="19" t="s">
        <v>209</v>
      </c>
      <c r="F24" s="16" t="s">
        <v>212</v>
      </c>
      <c r="G24" s="20" t="s">
        <v>213</v>
      </c>
      <c r="H24" s="16" t="s">
        <v>208</v>
      </c>
      <c r="I24" s="18" t="s">
        <v>214</v>
      </c>
      <c r="J24" s="20" t="s">
        <v>215</v>
      </c>
      <c r="K24" s="17" t="s">
        <v>216</v>
      </c>
      <c r="L24" s="18" t="s">
        <v>217</v>
      </c>
      <c r="M24" s="16" t="s">
        <v>218</v>
      </c>
      <c r="N24" s="17" t="s">
        <v>219</v>
      </c>
    </row>
    <row r="25" customFormat="false" ht="15" hidden="false" customHeight="false" outlineLevel="0" collapsed="false">
      <c r="A25" s="9" t="s">
        <v>220</v>
      </c>
      <c r="B25" s="16" t="s">
        <v>218</v>
      </c>
      <c r="C25" s="20" t="s">
        <v>213</v>
      </c>
      <c r="D25" s="21" t="s">
        <v>211</v>
      </c>
      <c r="E25" s="17" t="s">
        <v>216</v>
      </c>
      <c r="F25" s="20" t="s">
        <v>215</v>
      </c>
      <c r="G25" s="17" t="s">
        <v>219</v>
      </c>
      <c r="H25" s="16" t="s">
        <v>205</v>
      </c>
      <c r="I25" s="18" t="s">
        <v>217</v>
      </c>
      <c r="J25" s="19" t="s">
        <v>206</v>
      </c>
      <c r="K25" s="19" t="s">
        <v>209</v>
      </c>
      <c r="L25" s="18" t="s">
        <v>214</v>
      </c>
      <c r="M25" s="16" t="s">
        <v>208</v>
      </c>
      <c r="N25" s="16" t="s">
        <v>212</v>
      </c>
    </row>
    <row r="26" customFormat="false" ht="15" hidden="false" customHeight="false" outlineLevel="0" collapsed="false">
      <c r="A26" s="9" t="s">
        <v>221</v>
      </c>
      <c r="B26" s="19" t="s">
        <v>209</v>
      </c>
      <c r="C26" s="16" t="s">
        <v>208</v>
      </c>
      <c r="D26" s="18" t="s">
        <v>214</v>
      </c>
      <c r="E26" s="8"/>
      <c r="F26" s="16" t="s">
        <v>218</v>
      </c>
      <c r="G26" s="18" t="s">
        <v>217</v>
      </c>
      <c r="H26" s="16" t="s">
        <v>212</v>
      </c>
      <c r="I26" s="8"/>
      <c r="J26" s="20" t="s">
        <v>213</v>
      </c>
      <c r="K26" s="17" t="s">
        <v>219</v>
      </c>
      <c r="L26" s="20" t="s">
        <v>215</v>
      </c>
      <c r="M26" s="21" t="s">
        <v>211</v>
      </c>
      <c r="N26" s="17" t="s">
        <v>216</v>
      </c>
    </row>
    <row r="27" customFormat="false" ht="15" hidden="false" customHeight="false" outlineLevel="0" collapsed="false">
      <c r="A27" s="9" t="s">
        <v>222</v>
      </c>
      <c r="B27" s="16" t="s">
        <v>212</v>
      </c>
      <c r="C27" s="20" t="s">
        <v>215</v>
      </c>
      <c r="D27" s="18" t="s">
        <v>217</v>
      </c>
      <c r="E27" s="17" t="s">
        <v>219</v>
      </c>
      <c r="F27" s="18" t="s">
        <v>214</v>
      </c>
      <c r="G27" s="17" t="s">
        <v>216</v>
      </c>
      <c r="H27" s="16" t="s">
        <v>218</v>
      </c>
      <c r="I27" s="8"/>
      <c r="J27" s="21" t="s">
        <v>211</v>
      </c>
      <c r="K27" s="8"/>
      <c r="L27" s="20" t="s">
        <v>213</v>
      </c>
      <c r="M27" s="8"/>
      <c r="N27" s="8"/>
    </row>
    <row r="29" customFormat="false" ht="15" hidden="false" customHeight="false" outlineLevel="0" collapsed="false">
      <c r="A29" s="6" t="s">
        <v>223</v>
      </c>
    </row>
    <row r="30" customFormat="false" ht="15" hidden="false" customHeight="false" outlineLevel="0" collapsed="false">
      <c r="A30" s="23" t="s">
        <v>224</v>
      </c>
      <c r="B30" s="4" t="s">
        <v>225</v>
      </c>
      <c r="C30" s="4"/>
      <c r="D30" s="4"/>
      <c r="E30" s="4"/>
      <c r="F30" s="4" t="s">
        <v>226</v>
      </c>
    </row>
    <row r="31" customFormat="false" ht="15" hidden="false" customHeight="false" outlineLevel="0" collapsed="false">
      <c r="A31" s="24" t="s">
        <v>227</v>
      </c>
      <c r="B31" s="4" t="s">
        <v>228</v>
      </c>
      <c r="C31" s="4"/>
      <c r="D31" s="4"/>
      <c r="E31" s="4"/>
      <c r="F31" s="4" t="s">
        <v>226</v>
      </c>
    </row>
    <row r="32" customFormat="false" ht="15" hidden="false" customHeight="false" outlineLevel="0" collapsed="false">
      <c r="A32" s="25" t="s">
        <v>229</v>
      </c>
      <c r="B32" s="4" t="s">
        <v>230</v>
      </c>
      <c r="C32" s="4"/>
      <c r="D32" s="4"/>
      <c r="E32" s="4"/>
      <c r="F32" s="4" t="s">
        <v>231</v>
      </c>
    </row>
    <row r="33" customFormat="false" ht="15" hidden="false" customHeight="false" outlineLevel="0" collapsed="false">
      <c r="A33" s="26" t="s">
        <v>232</v>
      </c>
      <c r="B33" s="4" t="s">
        <v>233</v>
      </c>
      <c r="C33" s="4"/>
      <c r="D33" s="4"/>
      <c r="E33" s="4"/>
      <c r="F33" s="4" t="s">
        <v>231</v>
      </c>
    </row>
    <row r="34" customFormat="false" ht="15" hidden="false" customHeight="false" outlineLevel="0" collapsed="false">
      <c r="A34" s="27" t="s">
        <v>234</v>
      </c>
      <c r="B34" s="4" t="s">
        <v>235</v>
      </c>
      <c r="C34" s="4"/>
      <c r="D34" s="4"/>
      <c r="E34" s="4"/>
      <c r="F34" s="4" t="s">
        <v>231</v>
      </c>
    </row>
    <row r="35" customFormat="false" ht="15" hidden="false" customHeight="false" outlineLevel="0" collapsed="false">
      <c r="A35" s="28" t="s">
        <v>236</v>
      </c>
      <c r="B35" s="4" t="s">
        <v>237</v>
      </c>
      <c r="C35" s="4"/>
      <c r="D35" s="4"/>
      <c r="E35" s="4"/>
      <c r="F35" s="4" t="s">
        <v>231</v>
      </c>
    </row>
  </sheetData>
  <mergeCells count="6"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8" min="5" style="0" width="28"/>
  </cols>
  <sheetData>
    <row r="1" customFormat="false" ht="17.35" hidden="false" customHeight="false" outlineLevel="0" collapsed="false">
      <c r="A1" s="1" t="s">
        <v>238</v>
      </c>
    </row>
    <row r="3" customFormat="false" ht="15" hidden="false" customHeight="false" outlineLevel="0" collapsed="false">
      <c r="A3" s="3" t="s">
        <v>239</v>
      </c>
      <c r="B3" s="3" t="s">
        <v>240</v>
      </c>
      <c r="C3" s="3" t="s">
        <v>241</v>
      </c>
      <c r="D3" s="3" t="s">
        <v>242</v>
      </c>
      <c r="E3" s="3" t="s">
        <v>243</v>
      </c>
      <c r="F3" s="3" t="s">
        <v>244</v>
      </c>
      <c r="G3" s="3" t="s">
        <v>245</v>
      </c>
      <c r="H3" s="3" t="s">
        <v>246</v>
      </c>
    </row>
    <row r="4" customFormat="false" ht="15" hidden="false" customHeight="false" outlineLevel="0" collapsed="false">
      <c r="A4" s="24" t="s">
        <v>141</v>
      </c>
      <c r="B4" s="4" t="n">
        <v>2</v>
      </c>
      <c r="C4" s="4" t="s">
        <v>247</v>
      </c>
      <c r="D4" s="4" t="s">
        <v>248</v>
      </c>
      <c r="E4" s="4" t="s">
        <v>249</v>
      </c>
      <c r="F4" s="4" t="s">
        <v>250</v>
      </c>
      <c r="G4" s="4" t="s">
        <v>251</v>
      </c>
      <c r="H4" s="4" t="s">
        <v>252</v>
      </c>
    </row>
    <row r="5" customFormat="false" ht="15" hidden="false" customHeight="false" outlineLevel="0" collapsed="false">
      <c r="A5" s="24" t="s">
        <v>143</v>
      </c>
      <c r="B5" s="4" t="n">
        <v>2</v>
      </c>
      <c r="C5" s="4" t="s">
        <v>247</v>
      </c>
      <c r="D5" s="4" t="s">
        <v>248</v>
      </c>
      <c r="E5" s="4" t="s">
        <v>253</v>
      </c>
      <c r="F5" s="4" t="s">
        <v>254</v>
      </c>
      <c r="G5" s="4" t="s">
        <v>255</v>
      </c>
      <c r="H5" s="4" t="s">
        <v>256</v>
      </c>
    </row>
    <row r="6" customFormat="false" ht="15" hidden="false" customHeight="false" outlineLevel="0" collapsed="false">
      <c r="A6" s="24" t="s">
        <v>146</v>
      </c>
      <c r="B6" s="4" t="n">
        <v>2</v>
      </c>
      <c r="C6" s="4" t="s">
        <v>247</v>
      </c>
      <c r="D6" s="4" t="s">
        <v>248</v>
      </c>
      <c r="E6" s="4" t="s">
        <v>257</v>
      </c>
      <c r="F6" s="4" t="s">
        <v>258</v>
      </c>
      <c r="G6" s="4" t="s">
        <v>251</v>
      </c>
      <c r="H6" s="4" t="s">
        <v>259</v>
      </c>
    </row>
    <row r="7" customFormat="false" ht="15" hidden="false" customHeight="false" outlineLevel="0" collapsed="false">
      <c r="A7" s="28" t="s">
        <v>142</v>
      </c>
      <c r="B7" s="4" t="n">
        <v>6</v>
      </c>
      <c r="C7" s="4" t="s">
        <v>247</v>
      </c>
      <c r="D7" s="4" t="s">
        <v>248</v>
      </c>
      <c r="E7" s="4" t="s">
        <v>260</v>
      </c>
      <c r="F7" s="4" t="s">
        <v>250</v>
      </c>
      <c r="G7" s="4" t="s">
        <v>261</v>
      </c>
      <c r="H7" s="4" t="s">
        <v>262</v>
      </c>
    </row>
    <row r="8" customFormat="false" ht="15" hidden="false" customHeight="false" outlineLevel="0" collapsed="false">
      <c r="A8" s="28" t="s">
        <v>144</v>
      </c>
      <c r="B8" s="4" t="n">
        <v>6</v>
      </c>
      <c r="C8" s="4" t="s">
        <v>247</v>
      </c>
      <c r="D8" s="4" t="s">
        <v>248</v>
      </c>
      <c r="E8" s="4" t="s">
        <v>263</v>
      </c>
      <c r="F8" s="4" t="s">
        <v>264</v>
      </c>
      <c r="G8" s="4" t="s">
        <v>261</v>
      </c>
      <c r="H8" s="4" t="s">
        <v>265</v>
      </c>
    </row>
    <row r="9" customFormat="false" ht="15" hidden="false" customHeight="false" outlineLevel="0" collapsed="false">
      <c r="A9" s="28" t="s">
        <v>145</v>
      </c>
      <c r="B9" s="4" t="n">
        <v>6</v>
      </c>
      <c r="C9" s="4" t="s">
        <v>247</v>
      </c>
      <c r="D9" s="4" t="s">
        <v>248</v>
      </c>
      <c r="E9" s="4" t="s">
        <v>263</v>
      </c>
      <c r="F9" s="4" t="s">
        <v>258</v>
      </c>
      <c r="G9" s="4" t="s">
        <v>266</v>
      </c>
      <c r="H9" s="4" t="s">
        <v>265</v>
      </c>
    </row>
    <row r="10" customFormat="false" ht="15" hidden="false" customHeight="false" outlineLevel="0" collapsed="false">
      <c r="A10" s="25" t="s">
        <v>149</v>
      </c>
      <c r="B10" s="4" t="n">
        <v>3</v>
      </c>
      <c r="C10" s="4" t="s">
        <v>267</v>
      </c>
      <c r="D10" s="4" t="s">
        <v>268</v>
      </c>
      <c r="E10" s="4" t="s">
        <v>269</v>
      </c>
      <c r="F10" s="4" t="s">
        <v>266</v>
      </c>
      <c r="G10" s="4" t="s">
        <v>252</v>
      </c>
      <c r="H10" s="4" t="s">
        <v>270</v>
      </c>
    </row>
    <row r="11" customFormat="false" ht="15" hidden="false" customHeight="false" outlineLevel="0" collapsed="false">
      <c r="A11" s="28" t="s">
        <v>148</v>
      </c>
      <c r="B11" s="4" t="n">
        <v>6</v>
      </c>
      <c r="C11" s="4" t="s">
        <v>267</v>
      </c>
      <c r="D11" s="4" t="s">
        <v>268</v>
      </c>
      <c r="E11" s="4" t="s">
        <v>264</v>
      </c>
      <c r="F11" s="4" t="s">
        <v>255</v>
      </c>
      <c r="G11" s="4" t="s">
        <v>262</v>
      </c>
      <c r="H11" s="4" t="s">
        <v>271</v>
      </c>
    </row>
    <row r="12" customFormat="false" ht="15" hidden="false" customHeight="false" outlineLevel="0" collapsed="false">
      <c r="A12" s="23" t="s">
        <v>151</v>
      </c>
      <c r="B12" s="4" t="n">
        <v>1</v>
      </c>
      <c r="C12" s="4" t="s">
        <v>272</v>
      </c>
      <c r="D12" s="4" t="s">
        <v>273</v>
      </c>
      <c r="E12" s="4" t="s">
        <v>274</v>
      </c>
      <c r="F12" s="4" t="s">
        <v>275</v>
      </c>
      <c r="G12" s="4" t="s">
        <v>276</v>
      </c>
      <c r="H12" s="4" t="s">
        <v>277</v>
      </c>
    </row>
    <row r="13" customFormat="false" ht="15" hidden="false" customHeight="false" outlineLevel="0" collapsed="false">
      <c r="A13" s="23" t="s">
        <v>152</v>
      </c>
      <c r="B13" s="4" t="n">
        <v>1</v>
      </c>
      <c r="C13" s="4" t="s">
        <v>272</v>
      </c>
      <c r="D13" s="4" t="s">
        <v>273</v>
      </c>
      <c r="E13" s="4" t="s">
        <v>274</v>
      </c>
      <c r="F13" s="4" t="s">
        <v>256</v>
      </c>
      <c r="G13" s="4" t="s">
        <v>278</v>
      </c>
      <c r="H13" s="4" t="s">
        <v>279</v>
      </c>
    </row>
    <row r="14" customFormat="false" ht="15" hidden="false" customHeight="false" outlineLevel="0" collapsed="false">
      <c r="A14" s="25" t="s">
        <v>155</v>
      </c>
      <c r="B14" s="4" t="n">
        <v>3</v>
      </c>
      <c r="C14" s="4" t="s">
        <v>272</v>
      </c>
      <c r="D14" s="4" t="s">
        <v>273</v>
      </c>
      <c r="E14" s="4" t="s">
        <v>280</v>
      </c>
      <c r="F14" s="4" t="s">
        <v>275</v>
      </c>
      <c r="G14" s="4" t="s">
        <v>270</v>
      </c>
      <c r="H14" s="4" t="s">
        <v>281</v>
      </c>
    </row>
    <row r="15" customFormat="false" ht="15" hidden="false" customHeight="false" outlineLevel="0" collapsed="false">
      <c r="A15" s="27" t="s">
        <v>153</v>
      </c>
      <c r="B15" s="4" t="n">
        <v>5</v>
      </c>
      <c r="C15" s="4" t="s">
        <v>272</v>
      </c>
      <c r="D15" s="4" t="s">
        <v>273</v>
      </c>
      <c r="E15" s="4" t="s">
        <v>282</v>
      </c>
      <c r="F15" s="4" t="s">
        <v>283</v>
      </c>
      <c r="G15" s="4" t="s">
        <v>284</v>
      </c>
      <c r="H15" s="4" t="s">
        <v>281</v>
      </c>
    </row>
    <row r="16" customFormat="false" ht="15" hidden="false" customHeight="false" outlineLevel="0" collapsed="false">
      <c r="A16" s="27" t="s">
        <v>154</v>
      </c>
      <c r="B16" s="4" t="n">
        <v>5</v>
      </c>
      <c r="C16" s="4" t="s">
        <v>272</v>
      </c>
      <c r="D16" s="4" t="s">
        <v>273</v>
      </c>
      <c r="E16" s="4" t="s">
        <v>282</v>
      </c>
      <c r="F16" s="4" t="s">
        <v>259</v>
      </c>
      <c r="G16" s="4" t="s">
        <v>271</v>
      </c>
      <c r="H16" s="4" t="s">
        <v>285</v>
      </c>
    </row>
    <row r="17" customFormat="false" ht="15" hidden="false" customHeight="false" outlineLevel="0" collapsed="false">
      <c r="A17" s="23" t="s">
        <v>159</v>
      </c>
      <c r="B17" s="4" t="n">
        <v>1</v>
      </c>
      <c r="C17" s="4" t="s">
        <v>248</v>
      </c>
      <c r="D17" s="4" t="s">
        <v>286</v>
      </c>
      <c r="E17" s="4" t="s">
        <v>278</v>
      </c>
      <c r="F17" s="4" t="s">
        <v>287</v>
      </c>
      <c r="G17" s="4" t="s">
        <v>288</v>
      </c>
      <c r="H17" s="4" t="s">
        <v>289</v>
      </c>
    </row>
    <row r="18" customFormat="false" ht="15" hidden="false" customHeight="false" outlineLevel="0" collapsed="false">
      <c r="A18" s="27" t="s">
        <v>158</v>
      </c>
      <c r="B18" s="4" t="n">
        <v>5</v>
      </c>
      <c r="C18" s="4" t="s">
        <v>248</v>
      </c>
      <c r="D18" s="4" t="s">
        <v>286</v>
      </c>
      <c r="E18" s="4" t="s">
        <v>284</v>
      </c>
      <c r="F18" s="4" t="s">
        <v>279</v>
      </c>
      <c r="G18" s="4" t="s">
        <v>290</v>
      </c>
      <c r="H18" s="4" t="s">
        <v>291</v>
      </c>
    </row>
    <row r="19" customFormat="false" ht="15" hidden="false" customHeight="false" outlineLevel="0" collapsed="false">
      <c r="A19" s="28" t="s">
        <v>160</v>
      </c>
      <c r="B19" s="4" t="n">
        <v>6</v>
      </c>
      <c r="C19" s="4" t="s">
        <v>248</v>
      </c>
      <c r="D19" s="4" t="s">
        <v>286</v>
      </c>
      <c r="E19" s="4" t="s">
        <v>276</v>
      </c>
      <c r="F19" s="4" t="s">
        <v>292</v>
      </c>
      <c r="G19" s="4" t="s">
        <v>293</v>
      </c>
      <c r="H19" s="4" t="s">
        <v>291</v>
      </c>
    </row>
    <row r="20" customFormat="false" ht="15" hidden="false" customHeight="false" outlineLevel="0" collapsed="false">
      <c r="A20" s="24" t="s">
        <v>163</v>
      </c>
      <c r="B20" s="4" t="n">
        <v>2</v>
      </c>
      <c r="C20" s="4" t="s">
        <v>268</v>
      </c>
      <c r="D20" s="4" t="s">
        <v>294</v>
      </c>
      <c r="E20" s="4" t="s">
        <v>292</v>
      </c>
      <c r="F20" s="4" t="s">
        <v>295</v>
      </c>
      <c r="G20" s="4" t="s">
        <v>296</v>
      </c>
      <c r="H20" s="4" t="s">
        <v>297</v>
      </c>
    </row>
    <row r="21" customFormat="false" ht="15" hidden="false" customHeight="false" outlineLevel="0" collapsed="false">
      <c r="A21" s="26" t="s">
        <v>162</v>
      </c>
      <c r="B21" s="4" t="n">
        <v>4</v>
      </c>
      <c r="C21" s="4" t="s">
        <v>268</v>
      </c>
      <c r="D21" s="4" t="s">
        <v>294</v>
      </c>
      <c r="E21" s="4" t="s">
        <v>287</v>
      </c>
      <c r="F21" s="4" t="s">
        <v>298</v>
      </c>
      <c r="G21" s="4" t="s">
        <v>299</v>
      </c>
      <c r="H21" s="4" t="s">
        <v>300</v>
      </c>
    </row>
    <row r="22" customFormat="false" ht="15" hidden="false" customHeight="false" outlineLevel="0" collapsed="false">
      <c r="A22" s="23" t="s">
        <v>169</v>
      </c>
      <c r="B22" s="4" t="n">
        <v>1</v>
      </c>
      <c r="C22" s="4" t="s">
        <v>273</v>
      </c>
      <c r="D22" s="4" t="s">
        <v>301</v>
      </c>
      <c r="E22" s="4" t="s">
        <v>288</v>
      </c>
      <c r="F22" s="4" t="s">
        <v>302</v>
      </c>
      <c r="G22" s="4" t="s">
        <v>303</v>
      </c>
      <c r="H22" s="4" t="s">
        <v>304</v>
      </c>
    </row>
    <row r="23" customFormat="false" ht="15" hidden="false" customHeight="false" outlineLevel="0" collapsed="false">
      <c r="A23" s="23" t="s">
        <v>170</v>
      </c>
      <c r="B23" s="4" t="n">
        <v>1</v>
      </c>
      <c r="C23" s="4" t="s">
        <v>273</v>
      </c>
      <c r="D23" s="4" t="s">
        <v>301</v>
      </c>
      <c r="E23" s="4" t="s">
        <v>305</v>
      </c>
      <c r="F23" s="4" t="s">
        <v>299</v>
      </c>
      <c r="G23" s="4" t="s">
        <v>297</v>
      </c>
      <c r="H23" s="4" t="s">
        <v>306</v>
      </c>
    </row>
    <row r="24" customFormat="false" ht="15" hidden="false" customHeight="false" outlineLevel="0" collapsed="false">
      <c r="A24" s="24" t="s">
        <v>165</v>
      </c>
      <c r="B24" s="4" t="n">
        <v>2</v>
      </c>
      <c r="C24" s="4" t="s">
        <v>273</v>
      </c>
      <c r="D24" s="4" t="s">
        <v>301</v>
      </c>
      <c r="E24" s="4" t="s">
        <v>307</v>
      </c>
      <c r="F24" s="4" t="s">
        <v>308</v>
      </c>
      <c r="G24" s="4" t="s">
        <v>309</v>
      </c>
      <c r="H24" s="4" t="s">
        <v>306</v>
      </c>
    </row>
    <row r="25" customFormat="false" ht="15" hidden="false" customHeight="false" outlineLevel="0" collapsed="false">
      <c r="A25" s="24" t="s">
        <v>168</v>
      </c>
      <c r="B25" s="4" t="n">
        <v>2</v>
      </c>
      <c r="C25" s="4" t="s">
        <v>273</v>
      </c>
      <c r="D25" s="4" t="s">
        <v>301</v>
      </c>
      <c r="E25" s="4" t="s">
        <v>295</v>
      </c>
      <c r="F25" s="4" t="s">
        <v>302</v>
      </c>
      <c r="G25" s="4" t="s">
        <v>310</v>
      </c>
      <c r="H25" s="4" t="s">
        <v>311</v>
      </c>
    </row>
    <row r="26" customFormat="false" ht="15" hidden="false" customHeight="false" outlineLevel="0" collapsed="false">
      <c r="A26" s="25" t="s">
        <v>167</v>
      </c>
      <c r="B26" s="4" t="n">
        <v>3</v>
      </c>
      <c r="C26" s="4" t="s">
        <v>273</v>
      </c>
      <c r="D26" s="4" t="s">
        <v>301</v>
      </c>
      <c r="E26" s="4" t="s">
        <v>293</v>
      </c>
      <c r="F26" s="4" t="s">
        <v>296</v>
      </c>
      <c r="G26" s="4" t="s">
        <v>312</v>
      </c>
      <c r="H26" s="4" t="s">
        <v>313</v>
      </c>
    </row>
    <row r="27" customFormat="false" ht="15" hidden="false" customHeight="false" outlineLevel="0" collapsed="false">
      <c r="A27" s="26" t="s">
        <v>166</v>
      </c>
      <c r="B27" s="4" t="n">
        <v>4</v>
      </c>
      <c r="C27" s="4" t="s">
        <v>273</v>
      </c>
      <c r="D27" s="4" t="s">
        <v>301</v>
      </c>
      <c r="E27" s="4" t="s">
        <v>307</v>
      </c>
      <c r="F27" s="4" t="s">
        <v>308</v>
      </c>
      <c r="G27" s="4" t="s">
        <v>300</v>
      </c>
      <c r="H27" s="4" t="s">
        <v>314</v>
      </c>
    </row>
    <row r="28" customFormat="false" ht="15" hidden="false" customHeight="false" outlineLevel="0" collapsed="false">
      <c r="A28" s="26" t="s">
        <v>172</v>
      </c>
      <c r="B28" s="4" t="n">
        <v>4</v>
      </c>
      <c r="C28" s="4" t="s">
        <v>273</v>
      </c>
      <c r="D28" s="4" t="s">
        <v>301</v>
      </c>
      <c r="E28" s="4" t="s">
        <v>298</v>
      </c>
      <c r="F28" s="4" t="s">
        <v>289</v>
      </c>
      <c r="G28" s="4" t="s">
        <v>303</v>
      </c>
      <c r="H28" s="4" t="s">
        <v>315</v>
      </c>
    </row>
    <row r="29" customFormat="false" ht="15" hidden="false" customHeight="false" outlineLevel="0" collapsed="false">
      <c r="A29" s="27" t="s">
        <v>171</v>
      </c>
      <c r="B29" s="4" t="n">
        <v>5</v>
      </c>
      <c r="C29" s="4" t="s">
        <v>273</v>
      </c>
      <c r="D29" s="4" t="s">
        <v>301</v>
      </c>
      <c r="E29" s="4" t="s">
        <v>305</v>
      </c>
      <c r="F29" s="4" t="s">
        <v>316</v>
      </c>
      <c r="G29" s="4" t="s">
        <v>309</v>
      </c>
      <c r="H29" s="4" t="s">
        <v>315</v>
      </c>
    </row>
    <row r="30" customFormat="false" ht="15" hidden="false" customHeight="false" outlineLevel="0" collapsed="false">
      <c r="A30" s="23" t="s">
        <v>180</v>
      </c>
      <c r="B30" s="4" t="n">
        <v>1</v>
      </c>
      <c r="C30" s="4" t="s">
        <v>317</v>
      </c>
      <c r="D30" s="4" t="s">
        <v>318</v>
      </c>
      <c r="E30" s="4" t="s">
        <v>319</v>
      </c>
      <c r="F30" s="4" t="s">
        <v>320</v>
      </c>
      <c r="G30" s="4" t="s">
        <v>321</v>
      </c>
      <c r="H30" s="4" t="s">
        <v>322</v>
      </c>
    </row>
    <row r="31" customFormat="false" ht="15" hidden="false" customHeight="false" outlineLevel="0" collapsed="false">
      <c r="A31" s="23" t="s">
        <v>181</v>
      </c>
      <c r="B31" s="4" t="n">
        <v>1</v>
      </c>
      <c r="C31" s="4" t="s">
        <v>317</v>
      </c>
      <c r="D31" s="4" t="s">
        <v>318</v>
      </c>
      <c r="E31" s="4" t="s">
        <v>319</v>
      </c>
      <c r="F31" s="4" t="s">
        <v>323</v>
      </c>
      <c r="G31" s="4" t="s">
        <v>324</v>
      </c>
      <c r="H31" s="4" t="s">
        <v>325</v>
      </c>
    </row>
    <row r="32" customFormat="false" ht="15" hidden="false" customHeight="false" outlineLevel="0" collapsed="false">
      <c r="A32" s="25" t="s">
        <v>182</v>
      </c>
      <c r="B32" s="4" t="n">
        <v>3</v>
      </c>
      <c r="C32" s="4" t="s">
        <v>317</v>
      </c>
      <c r="D32" s="4" t="s">
        <v>318</v>
      </c>
      <c r="E32" s="4" t="s">
        <v>326</v>
      </c>
      <c r="F32" s="4" t="s">
        <v>327</v>
      </c>
      <c r="G32" s="4" t="s">
        <v>328</v>
      </c>
      <c r="H32" s="4" t="s">
        <v>329</v>
      </c>
    </row>
    <row r="33" customFormat="false" ht="15" hidden="false" customHeight="false" outlineLevel="0" collapsed="false">
      <c r="A33" s="25" t="s">
        <v>184</v>
      </c>
      <c r="B33" s="4" t="n">
        <v>3</v>
      </c>
      <c r="C33" s="4" t="s">
        <v>317</v>
      </c>
      <c r="D33" s="4" t="s">
        <v>318</v>
      </c>
      <c r="E33" s="4" t="s">
        <v>330</v>
      </c>
      <c r="F33" s="4" t="s">
        <v>331</v>
      </c>
      <c r="G33" s="4" t="s">
        <v>332</v>
      </c>
      <c r="H33" s="4" t="s">
        <v>333</v>
      </c>
    </row>
    <row r="34" customFormat="false" ht="15" hidden="false" customHeight="false" outlineLevel="0" collapsed="false">
      <c r="A34" s="26" t="s">
        <v>178</v>
      </c>
      <c r="B34" s="4" t="n">
        <v>4</v>
      </c>
      <c r="C34" s="4" t="s">
        <v>317</v>
      </c>
      <c r="D34" s="4" t="s">
        <v>318</v>
      </c>
      <c r="E34" s="4" t="s">
        <v>334</v>
      </c>
      <c r="F34" s="4" t="s">
        <v>323</v>
      </c>
      <c r="G34" s="4" t="s">
        <v>332</v>
      </c>
      <c r="H34" s="4" t="s">
        <v>335</v>
      </c>
    </row>
    <row r="35" customFormat="false" ht="15" hidden="false" customHeight="false" outlineLevel="0" collapsed="false">
      <c r="A35" s="26" t="s">
        <v>185</v>
      </c>
      <c r="B35" s="4" t="n">
        <v>4</v>
      </c>
      <c r="C35" s="4" t="s">
        <v>317</v>
      </c>
      <c r="D35" s="4" t="s">
        <v>318</v>
      </c>
      <c r="E35" s="4" t="s">
        <v>336</v>
      </c>
      <c r="F35" s="4" t="s">
        <v>337</v>
      </c>
      <c r="G35" s="4" t="s">
        <v>338</v>
      </c>
      <c r="H35" s="4" t="s">
        <v>339</v>
      </c>
    </row>
    <row r="36" customFormat="false" ht="15" hidden="false" customHeight="false" outlineLevel="0" collapsed="false">
      <c r="A36" s="26" t="s">
        <v>179</v>
      </c>
      <c r="B36" s="4" t="n">
        <v>4</v>
      </c>
      <c r="C36" s="4" t="s">
        <v>317</v>
      </c>
      <c r="D36" s="4" t="s">
        <v>318</v>
      </c>
      <c r="E36" s="4" t="s">
        <v>334</v>
      </c>
      <c r="F36" s="4" t="s">
        <v>337</v>
      </c>
      <c r="G36" s="4" t="s">
        <v>340</v>
      </c>
      <c r="H36" s="4" t="s">
        <v>339</v>
      </c>
    </row>
    <row r="37" customFormat="false" ht="15" hidden="false" customHeight="false" outlineLevel="0" collapsed="false">
      <c r="A37" s="27" t="s">
        <v>183</v>
      </c>
      <c r="B37" s="4" t="n">
        <v>5</v>
      </c>
      <c r="C37" s="4" t="s">
        <v>317</v>
      </c>
      <c r="D37" s="4" t="s">
        <v>318</v>
      </c>
      <c r="E37" s="4" t="s">
        <v>341</v>
      </c>
      <c r="F37" s="4" t="s">
        <v>320</v>
      </c>
      <c r="G37" s="4" t="s">
        <v>342</v>
      </c>
      <c r="H37" s="4" t="s">
        <v>343</v>
      </c>
    </row>
    <row r="38" customFormat="false" ht="15" hidden="false" customHeight="false" outlineLevel="0" collapsed="false">
      <c r="A38" s="24" t="s">
        <v>187</v>
      </c>
      <c r="B38" s="4" t="n">
        <v>2</v>
      </c>
      <c r="C38" s="4" t="s">
        <v>344</v>
      </c>
      <c r="D38" s="4" t="s">
        <v>345</v>
      </c>
      <c r="E38" s="4" t="s">
        <v>327</v>
      </c>
      <c r="F38" s="4" t="s">
        <v>340</v>
      </c>
      <c r="G38" s="4" t="s">
        <v>322</v>
      </c>
      <c r="H38" s="4" t="s">
        <v>346</v>
      </c>
    </row>
    <row r="39" customFormat="false" ht="15" hidden="false" customHeight="false" outlineLevel="0" collapsed="false">
      <c r="A39" s="23" t="s">
        <v>190</v>
      </c>
      <c r="B39" s="4" t="n">
        <v>1</v>
      </c>
      <c r="C39" s="4" t="s">
        <v>347</v>
      </c>
      <c r="D39" s="4" t="s">
        <v>348</v>
      </c>
      <c r="E39" s="4" t="s">
        <v>324</v>
      </c>
      <c r="F39" s="4" t="s">
        <v>329</v>
      </c>
      <c r="G39" s="4" t="s">
        <v>349</v>
      </c>
      <c r="H39" s="4" t="s">
        <v>350</v>
      </c>
    </row>
    <row r="40" customFormat="false" ht="15" hidden="false" customHeight="false" outlineLevel="0" collapsed="false">
      <c r="A40" s="26" t="s">
        <v>189</v>
      </c>
      <c r="B40" s="4" t="n">
        <v>4</v>
      </c>
      <c r="C40" s="4" t="s">
        <v>347</v>
      </c>
      <c r="D40" s="4" t="s">
        <v>348</v>
      </c>
      <c r="E40" s="4" t="s">
        <v>338</v>
      </c>
      <c r="F40" s="4" t="s">
        <v>335</v>
      </c>
      <c r="G40" s="4" t="s">
        <v>351</v>
      </c>
      <c r="H40" s="4" t="s">
        <v>352</v>
      </c>
    </row>
    <row r="41" customFormat="false" ht="15" hidden="false" customHeight="false" outlineLevel="0" collapsed="false">
      <c r="A41" s="26" t="s">
        <v>191</v>
      </c>
      <c r="B41" s="4" t="n">
        <v>4</v>
      </c>
      <c r="C41" s="4" t="s">
        <v>347</v>
      </c>
      <c r="D41" s="4" t="s">
        <v>348</v>
      </c>
      <c r="E41" s="4" t="s">
        <v>321</v>
      </c>
      <c r="F41" s="4" t="s">
        <v>325</v>
      </c>
      <c r="G41" s="4" t="s">
        <v>353</v>
      </c>
      <c r="H41" s="4" t="s">
        <v>354</v>
      </c>
    </row>
    <row r="42" customFormat="false" ht="15" hidden="false" customHeight="false" outlineLevel="0" collapsed="false">
      <c r="A42" s="25" t="s">
        <v>193</v>
      </c>
      <c r="B42" s="4" t="n">
        <v>3</v>
      </c>
      <c r="C42" s="4" t="s">
        <v>355</v>
      </c>
      <c r="D42" s="4" t="s">
        <v>356</v>
      </c>
      <c r="E42" s="4" t="s">
        <v>333</v>
      </c>
      <c r="F42" s="4" t="s">
        <v>357</v>
      </c>
      <c r="G42" s="4" t="s">
        <v>358</v>
      </c>
      <c r="H42" s="4" t="s">
        <v>359</v>
      </c>
    </row>
    <row r="43" customFormat="false" ht="15" hidden="false" customHeight="false" outlineLevel="0" collapsed="false">
      <c r="A43" s="23" t="s">
        <v>195</v>
      </c>
      <c r="B43" s="4" t="n">
        <v>1</v>
      </c>
      <c r="C43" s="4" t="s">
        <v>318</v>
      </c>
      <c r="D43" s="4" t="s">
        <v>360</v>
      </c>
      <c r="E43" s="4" t="s">
        <v>346</v>
      </c>
      <c r="F43" s="4" t="s">
        <v>361</v>
      </c>
      <c r="G43" s="4" t="s">
        <v>362</v>
      </c>
      <c r="H43" s="4" t="s">
        <v>363</v>
      </c>
    </row>
    <row r="44" customFormat="false" ht="15" hidden="false" customHeight="false" outlineLevel="0" collapsed="false">
      <c r="A44" s="23" t="s">
        <v>199</v>
      </c>
      <c r="B44" s="4" t="n">
        <v>1</v>
      </c>
      <c r="C44" s="4" t="s">
        <v>318</v>
      </c>
      <c r="D44" s="4" t="s">
        <v>360</v>
      </c>
      <c r="E44" s="4" t="s">
        <v>357</v>
      </c>
      <c r="F44" s="4" t="s">
        <v>354</v>
      </c>
      <c r="G44" s="4" t="s">
        <v>364</v>
      </c>
      <c r="H44" s="4" t="s">
        <v>365</v>
      </c>
    </row>
    <row r="45" customFormat="false" ht="15" hidden="false" customHeight="false" outlineLevel="0" collapsed="false">
      <c r="A45" s="24" t="s">
        <v>202</v>
      </c>
      <c r="B45" s="4" t="n">
        <v>2</v>
      </c>
      <c r="C45" s="4" t="s">
        <v>318</v>
      </c>
      <c r="D45" s="4" t="s">
        <v>360</v>
      </c>
      <c r="E45" s="4" t="s">
        <v>353</v>
      </c>
      <c r="F45" s="4" t="s">
        <v>350</v>
      </c>
      <c r="G45" s="4" t="s">
        <v>366</v>
      </c>
      <c r="H45" s="4" t="s">
        <v>367</v>
      </c>
    </row>
    <row r="46" customFormat="false" ht="15" hidden="false" customHeight="false" outlineLevel="0" collapsed="false">
      <c r="A46" s="25" t="s">
        <v>197</v>
      </c>
      <c r="B46" s="4" t="n">
        <v>3</v>
      </c>
      <c r="C46" s="4" t="s">
        <v>318</v>
      </c>
      <c r="D46" s="4" t="s">
        <v>360</v>
      </c>
      <c r="E46" s="4" t="s">
        <v>368</v>
      </c>
      <c r="F46" s="4" t="s">
        <v>361</v>
      </c>
      <c r="G46" s="4" t="s">
        <v>359</v>
      </c>
      <c r="H46" s="4" t="s">
        <v>369</v>
      </c>
    </row>
    <row r="47" customFormat="false" ht="15" hidden="false" customHeight="false" outlineLevel="0" collapsed="false">
      <c r="A47" s="27" t="s">
        <v>201</v>
      </c>
      <c r="B47" s="4" t="n">
        <v>5</v>
      </c>
      <c r="C47" s="4" t="s">
        <v>318</v>
      </c>
      <c r="D47" s="4" t="s">
        <v>360</v>
      </c>
      <c r="E47" s="4" t="s">
        <v>370</v>
      </c>
      <c r="F47" s="4" t="s">
        <v>352</v>
      </c>
      <c r="G47" s="4" t="s">
        <v>364</v>
      </c>
      <c r="H47" s="4" t="s">
        <v>371</v>
      </c>
    </row>
    <row r="48" customFormat="false" ht="15" hidden="false" customHeight="false" outlineLevel="0" collapsed="false">
      <c r="A48" s="27" t="s">
        <v>200</v>
      </c>
      <c r="B48" s="4" t="n">
        <v>5</v>
      </c>
      <c r="C48" s="4" t="s">
        <v>318</v>
      </c>
      <c r="D48" s="4" t="s">
        <v>360</v>
      </c>
      <c r="E48" s="4" t="s">
        <v>349</v>
      </c>
      <c r="F48" s="4" t="s">
        <v>372</v>
      </c>
      <c r="G48" s="4" t="s">
        <v>373</v>
      </c>
      <c r="H48" s="4" t="s">
        <v>374</v>
      </c>
    </row>
    <row r="49" customFormat="false" ht="15" hidden="false" customHeight="false" outlineLevel="0" collapsed="false">
      <c r="A49" s="28" t="s">
        <v>196</v>
      </c>
      <c r="B49" s="4" t="n">
        <v>6</v>
      </c>
      <c r="C49" s="4" t="s">
        <v>318</v>
      </c>
      <c r="D49" s="4" t="s">
        <v>360</v>
      </c>
      <c r="E49" s="4" t="s">
        <v>351</v>
      </c>
      <c r="F49" s="4" t="s">
        <v>372</v>
      </c>
      <c r="G49" s="4" t="s">
        <v>375</v>
      </c>
      <c r="H49" s="4" t="s">
        <v>365</v>
      </c>
    </row>
    <row r="50" customFormat="false" ht="15" hidden="false" customHeight="false" outlineLevel="0" collapsed="false">
      <c r="A50" s="28" t="s">
        <v>198</v>
      </c>
      <c r="B50" s="4" t="n">
        <v>6</v>
      </c>
      <c r="C50" s="4" t="s">
        <v>318</v>
      </c>
      <c r="D50" s="4" t="s">
        <v>360</v>
      </c>
      <c r="E50" s="4" t="s">
        <v>368</v>
      </c>
      <c r="F50" s="4" t="s">
        <v>376</v>
      </c>
      <c r="G50" s="4" t="s">
        <v>362</v>
      </c>
      <c r="H50" s="4" t="s">
        <v>363</v>
      </c>
    </row>
    <row r="51" customFormat="false" ht="15" hidden="false" customHeight="false" outlineLevel="0" collapsed="false">
      <c r="A51" s="23" t="s">
        <v>206</v>
      </c>
      <c r="B51" s="4" t="n">
        <v>1</v>
      </c>
      <c r="C51" s="4" t="s">
        <v>348</v>
      </c>
      <c r="D51" s="4" t="s">
        <v>377</v>
      </c>
      <c r="E51" s="4" t="s">
        <v>378</v>
      </c>
      <c r="F51" s="4" t="s">
        <v>374</v>
      </c>
      <c r="G51" s="4" t="s">
        <v>379</v>
      </c>
      <c r="H51" s="4" t="s">
        <v>380</v>
      </c>
    </row>
    <row r="52" customFormat="false" ht="15" hidden="false" customHeight="false" outlineLevel="0" collapsed="false">
      <c r="A52" s="24" t="s">
        <v>205</v>
      </c>
      <c r="B52" s="4" t="n">
        <v>2</v>
      </c>
      <c r="C52" s="4" t="s">
        <v>348</v>
      </c>
      <c r="D52" s="4" t="s">
        <v>377</v>
      </c>
      <c r="E52" s="4" t="s">
        <v>366</v>
      </c>
      <c r="F52" s="4" t="s">
        <v>381</v>
      </c>
      <c r="G52" s="4" t="s">
        <v>382</v>
      </c>
      <c r="H52" s="4" t="s">
        <v>383</v>
      </c>
    </row>
    <row r="53" customFormat="false" ht="15" hidden="false" customHeight="false" outlineLevel="0" collapsed="false">
      <c r="A53" s="23" t="s">
        <v>209</v>
      </c>
      <c r="B53" s="4" t="n">
        <v>1</v>
      </c>
      <c r="C53" s="4" t="s">
        <v>356</v>
      </c>
      <c r="D53" s="4" t="s">
        <v>384</v>
      </c>
      <c r="E53" s="4" t="s">
        <v>367</v>
      </c>
      <c r="F53" s="4" t="s">
        <v>379</v>
      </c>
      <c r="G53" s="4" t="s">
        <v>380</v>
      </c>
      <c r="H53" s="4" t="s">
        <v>385</v>
      </c>
    </row>
    <row r="54" customFormat="false" ht="15" hidden="false" customHeight="false" outlineLevel="0" collapsed="false">
      <c r="A54" s="24" t="s">
        <v>208</v>
      </c>
      <c r="B54" s="4" t="n">
        <v>2</v>
      </c>
      <c r="C54" s="4" t="s">
        <v>356</v>
      </c>
      <c r="D54" s="4" t="s">
        <v>384</v>
      </c>
      <c r="E54" s="4" t="s">
        <v>371</v>
      </c>
      <c r="F54" s="4" t="s">
        <v>386</v>
      </c>
      <c r="G54" s="4" t="s">
        <v>387</v>
      </c>
      <c r="H54" s="4" t="s">
        <v>385</v>
      </c>
    </row>
    <row r="55" customFormat="false" ht="15" hidden="false" customHeight="false" outlineLevel="0" collapsed="false">
      <c r="A55" s="24" t="s">
        <v>212</v>
      </c>
      <c r="B55" s="4" t="n">
        <v>2</v>
      </c>
      <c r="C55" s="4" t="s">
        <v>360</v>
      </c>
      <c r="D55" s="4" t="s">
        <v>388</v>
      </c>
      <c r="E55" s="4" t="s">
        <v>389</v>
      </c>
      <c r="F55" s="4" t="s">
        <v>387</v>
      </c>
      <c r="G55" s="4" t="s">
        <v>390</v>
      </c>
      <c r="H55" s="4" t="s">
        <v>391</v>
      </c>
    </row>
    <row r="56" customFormat="false" ht="15" hidden="false" customHeight="false" outlineLevel="0" collapsed="false">
      <c r="A56" s="24" t="s">
        <v>218</v>
      </c>
      <c r="B56" s="4" t="n">
        <v>2</v>
      </c>
      <c r="C56" s="4" t="s">
        <v>360</v>
      </c>
      <c r="D56" s="4" t="s">
        <v>388</v>
      </c>
      <c r="E56" s="4" t="s">
        <v>392</v>
      </c>
      <c r="F56" s="4" t="s">
        <v>393</v>
      </c>
      <c r="G56" s="4" t="s">
        <v>394</v>
      </c>
      <c r="H56" s="4" t="s">
        <v>395</v>
      </c>
    </row>
    <row r="57" customFormat="false" ht="15" hidden="false" customHeight="false" outlineLevel="0" collapsed="false">
      <c r="A57" s="25" t="s">
        <v>214</v>
      </c>
      <c r="B57" s="4" t="n">
        <v>3</v>
      </c>
      <c r="C57" s="4" t="s">
        <v>360</v>
      </c>
      <c r="D57" s="4" t="s">
        <v>388</v>
      </c>
      <c r="E57" s="4" t="s">
        <v>386</v>
      </c>
      <c r="F57" s="4" t="s">
        <v>396</v>
      </c>
      <c r="G57" s="4" t="s">
        <v>397</v>
      </c>
      <c r="H57" s="4" t="s">
        <v>398</v>
      </c>
    </row>
    <row r="58" customFormat="false" ht="15" hidden="false" customHeight="false" outlineLevel="0" collapsed="false">
      <c r="A58" s="25" t="s">
        <v>217</v>
      </c>
      <c r="B58" s="4" t="n">
        <v>3</v>
      </c>
      <c r="C58" s="4" t="s">
        <v>360</v>
      </c>
      <c r="D58" s="4" t="s">
        <v>388</v>
      </c>
      <c r="E58" s="4" t="s">
        <v>399</v>
      </c>
      <c r="F58" s="4" t="s">
        <v>383</v>
      </c>
      <c r="G58" s="4" t="s">
        <v>394</v>
      </c>
      <c r="H58" s="4" t="s">
        <v>400</v>
      </c>
    </row>
    <row r="59" customFormat="false" ht="15" hidden="false" customHeight="false" outlineLevel="0" collapsed="false">
      <c r="A59" s="26" t="s">
        <v>211</v>
      </c>
      <c r="B59" s="4" t="n">
        <v>4</v>
      </c>
      <c r="C59" s="4" t="s">
        <v>360</v>
      </c>
      <c r="D59" s="4" t="s">
        <v>388</v>
      </c>
      <c r="E59" s="4" t="s">
        <v>382</v>
      </c>
      <c r="F59" s="4" t="s">
        <v>401</v>
      </c>
      <c r="G59" s="4" t="s">
        <v>402</v>
      </c>
      <c r="H59" s="4" t="s">
        <v>403</v>
      </c>
    </row>
    <row r="60" customFormat="false" ht="15" hidden="false" customHeight="false" outlineLevel="0" collapsed="false">
      <c r="A60" s="27" t="s">
        <v>215</v>
      </c>
      <c r="B60" s="4" t="n">
        <v>5</v>
      </c>
      <c r="C60" s="4" t="s">
        <v>360</v>
      </c>
      <c r="D60" s="4" t="s">
        <v>388</v>
      </c>
      <c r="E60" s="4" t="s">
        <v>404</v>
      </c>
      <c r="F60" s="4" t="s">
        <v>405</v>
      </c>
      <c r="G60" s="4" t="s">
        <v>406</v>
      </c>
      <c r="H60" s="4" t="s">
        <v>391</v>
      </c>
    </row>
    <row r="61" customFormat="false" ht="15" hidden="false" customHeight="false" outlineLevel="0" collapsed="false">
      <c r="A61" s="27" t="s">
        <v>213</v>
      </c>
      <c r="B61" s="4" t="n">
        <v>5</v>
      </c>
      <c r="C61" s="4" t="s">
        <v>360</v>
      </c>
      <c r="D61" s="4" t="s">
        <v>388</v>
      </c>
      <c r="E61" s="4" t="s">
        <v>389</v>
      </c>
      <c r="F61" s="4" t="s">
        <v>393</v>
      </c>
      <c r="G61" s="4" t="s">
        <v>407</v>
      </c>
      <c r="H61" s="4" t="s">
        <v>408</v>
      </c>
    </row>
    <row r="62" customFormat="false" ht="15" hidden="false" customHeight="false" outlineLevel="0" collapsed="false">
      <c r="A62" s="28" t="s">
        <v>216</v>
      </c>
      <c r="B62" s="4" t="n">
        <v>6</v>
      </c>
      <c r="C62" s="4" t="s">
        <v>360</v>
      </c>
      <c r="D62" s="4" t="s">
        <v>388</v>
      </c>
      <c r="E62" s="4" t="s">
        <v>404</v>
      </c>
      <c r="F62" s="4" t="s">
        <v>401</v>
      </c>
      <c r="G62" s="4" t="s">
        <v>402</v>
      </c>
      <c r="H62" s="4" t="s">
        <v>398</v>
      </c>
    </row>
    <row r="63" customFormat="false" ht="15" hidden="false" customHeight="false" outlineLevel="0" collapsed="false">
      <c r="A63" s="28" t="s">
        <v>219</v>
      </c>
      <c r="B63" s="4" t="n">
        <v>6</v>
      </c>
      <c r="C63" s="4" t="s">
        <v>360</v>
      </c>
      <c r="D63" s="4" t="s">
        <v>388</v>
      </c>
      <c r="E63" s="4" t="s">
        <v>392</v>
      </c>
      <c r="F63" s="4" t="s">
        <v>405</v>
      </c>
      <c r="G63" s="4" t="s">
        <v>407</v>
      </c>
      <c r="H63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8" min="4" style="0" width="11"/>
  </cols>
  <sheetData>
    <row r="1" customFormat="false" ht="17.3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4" customFormat="false" ht="15" hidden="false" customHeight="false" outlineLevel="0" collapsed="false">
      <c r="A4" s="3" t="s">
        <v>239</v>
      </c>
      <c r="B4" s="3" t="s">
        <v>241</v>
      </c>
      <c r="C4" s="3" t="s">
        <v>240</v>
      </c>
      <c r="D4" s="3" t="s">
        <v>80</v>
      </c>
      <c r="E4" s="3" t="s">
        <v>94</v>
      </c>
      <c r="F4" s="3" t="s">
        <v>76</v>
      </c>
      <c r="G4" s="3" t="s">
        <v>117</v>
      </c>
      <c r="H4" s="3" t="s">
        <v>90</v>
      </c>
    </row>
    <row r="5" customFormat="false" ht="15" hidden="false" customHeight="false" outlineLevel="0" collapsed="false">
      <c r="A5" s="24" t="s">
        <v>141</v>
      </c>
      <c r="B5" s="4" t="s">
        <v>247</v>
      </c>
      <c r="C5" s="4" t="n">
        <v>2</v>
      </c>
      <c r="D5" s="8" t="s">
        <v>411</v>
      </c>
      <c r="E5" s="8" t="s">
        <v>412</v>
      </c>
      <c r="F5" s="8" t="s">
        <v>413</v>
      </c>
      <c r="G5" s="8" t="s">
        <v>414</v>
      </c>
      <c r="H5" s="8" t="s">
        <v>415</v>
      </c>
    </row>
    <row r="6" customFormat="false" ht="15" hidden="false" customHeight="false" outlineLevel="0" collapsed="false">
      <c r="A6" s="24" t="s">
        <v>143</v>
      </c>
      <c r="B6" s="4" t="s">
        <v>247</v>
      </c>
      <c r="C6" s="4" t="n">
        <v>2</v>
      </c>
      <c r="D6" s="8" t="s">
        <v>416</v>
      </c>
      <c r="E6" s="8" t="s">
        <v>417</v>
      </c>
      <c r="F6" s="8" t="s">
        <v>418</v>
      </c>
      <c r="G6" s="8" t="s">
        <v>419</v>
      </c>
      <c r="H6" s="8" t="s">
        <v>420</v>
      </c>
    </row>
    <row r="7" customFormat="false" ht="15" hidden="false" customHeight="false" outlineLevel="0" collapsed="false">
      <c r="A7" s="24" t="s">
        <v>146</v>
      </c>
      <c r="B7" s="4" t="s">
        <v>247</v>
      </c>
      <c r="C7" s="4" t="n">
        <v>2</v>
      </c>
      <c r="D7" s="29" t="s">
        <v>421</v>
      </c>
      <c r="E7" s="8" t="s">
        <v>422</v>
      </c>
      <c r="F7" s="8" t="s">
        <v>423</v>
      </c>
      <c r="G7" s="8" t="s">
        <v>424</v>
      </c>
      <c r="H7" s="8" t="s">
        <v>425</v>
      </c>
    </row>
    <row r="8" customFormat="false" ht="15" hidden="false" customHeight="false" outlineLevel="0" collapsed="false">
      <c r="A8" s="28" t="s">
        <v>142</v>
      </c>
      <c r="B8" s="4" t="s">
        <v>247</v>
      </c>
      <c r="C8" s="4" t="n">
        <v>6</v>
      </c>
      <c r="D8" s="8" t="s">
        <v>426</v>
      </c>
      <c r="E8" s="8" t="s">
        <v>427</v>
      </c>
      <c r="F8" s="8" t="s">
        <v>428</v>
      </c>
      <c r="G8" s="8" t="s">
        <v>429</v>
      </c>
      <c r="H8" s="8" t="s">
        <v>430</v>
      </c>
    </row>
    <row r="9" customFormat="false" ht="15" hidden="false" customHeight="false" outlineLevel="0" collapsed="false">
      <c r="A9" s="28" t="s">
        <v>144</v>
      </c>
      <c r="B9" s="4" t="s">
        <v>247</v>
      </c>
      <c r="C9" s="4" t="n">
        <v>6</v>
      </c>
      <c r="D9" s="8" t="s">
        <v>431</v>
      </c>
      <c r="E9" s="8" t="s">
        <v>432</v>
      </c>
      <c r="F9" s="29" t="s">
        <v>433</v>
      </c>
      <c r="G9" s="8" t="s">
        <v>434</v>
      </c>
      <c r="H9" s="8" t="s">
        <v>435</v>
      </c>
    </row>
    <row r="10" customFormat="false" ht="15" hidden="false" customHeight="false" outlineLevel="0" collapsed="false">
      <c r="A10" s="28" t="s">
        <v>145</v>
      </c>
      <c r="B10" s="4" t="s">
        <v>247</v>
      </c>
      <c r="C10" s="4" t="n">
        <v>6</v>
      </c>
      <c r="D10" s="8" t="s">
        <v>436</v>
      </c>
      <c r="E10" s="8" t="s">
        <v>437</v>
      </c>
      <c r="F10" s="8" t="s">
        <v>438</v>
      </c>
      <c r="G10" s="8" t="s">
        <v>439</v>
      </c>
      <c r="H10" s="8" t="s">
        <v>440</v>
      </c>
    </row>
    <row r="11" customFormat="false" ht="15" hidden="false" customHeight="false" outlineLevel="0" collapsed="false">
      <c r="A11" s="25" t="s">
        <v>149</v>
      </c>
      <c r="B11" s="4" t="s">
        <v>267</v>
      </c>
      <c r="C11" s="4" t="n">
        <v>3</v>
      </c>
      <c r="D11" s="8" t="s">
        <v>441</v>
      </c>
      <c r="E11" s="8" t="s">
        <v>442</v>
      </c>
      <c r="F11" s="8" t="s">
        <v>443</v>
      </c>
      <c r="G11" s="29" t="s">
        <v>444</v>
      </c>
      <c r="H11" s="8" t="s">
        <v>445</v>
      </c>
    </row>
    <row r="12" customFormat="false" ht="15" hidden="false" customHeight="false" outlineLevel="0" collapsed="false">
      <c r="A12" s="28" t="s">
        <v>148</v>
      </c>
      <c r="B12" s="4" t="s">
        <v>267</v>
      </c>
      <c r="C12" s="4" t="n">
        <v>6</v>
      </c>
      <c r="D12" s="8" t="s">
        <v>446</v>
      </c>
      <c r="E12" s="8" t="s">
        <v>447</v>
      </c>
      <c r="F12" s="8" t="s">
        <v>448</v>
      </c>
      <c r="G12" s="29" t="s">
        <v>449</v>
      </c>
      <c r="H12" s="8" t="s">
        <v>450</v>
      </c>
    </row>
    <row r="13" customFormat="false" ht="15" hidden="false" customHeight="false" outlineLevel="0" collapsed="false">
      <c r="A13" s="23" t="s">
        <v>151</v>
      </c>
      <c r="B13" s="4" t="s">
        <v>272</v>
      </c>
      <c r="C13" s="4" t="n">
        <v>1</v>
      </c>
      <c r="D13" s="8" t="s">
        <v>451</v>
      </c>
      <c r="E13" s="8" t="s">
        <v>452</v>
      </c>
      <c r="F13" s="8" t="s">
        <v>453</v>
      </c>
      <c r="G13" s="8" t="s">
        <v>454</v>
      </c>
      <c r="H13" s="8" t="s">
        <v>455</v>
      </c>
    </row>
    <row r="14" customFormat="false" ht="15" hidden="false" customHeight="false" outlineLevel="0" collapsed="false">
      <c r="A14" s="23" t="s">
        <v>152</v>
      </c>
      <c r="B14" s="4" t="s">
        <v>272</v>
      </c>
      <c r="C14" s="4" t="n">
        <v>1</v>
      </c>
      <c r="D14" s="29" t="s">
        <v>456</v>
      </c>
      <c r="E14" s="8" t="s">
        <v>457</v>
      </c>
      <c r="F14" s="8" t="s">
        <v>458</v>
      </c>
      <c r="G14" s="8" t="s">
        <v>459</v>
      </c>
      <c r="H14" s="8" t="s">
        <v>460</v>
      </c>
    </row>
    <row r="15" customFormat="false" ht="15" hidden="false" customHeight="false" outlineLevel="0" collapsed="false">
      <c r="A15" s="25" t="s">
        <v>155</v>
      </c>
      <c r="B15" s="4" t="s">
        <v>272</v>
      </c>
      <c r="C15" s="4" t="n">
        <v>3</v>
      </c>
      <c r="D15" s="8" t="s">
        <v>461</v>
      </c>
      <c r="E15" s="8" t="s">
        <v>462</v>
      </c>
      <c r="F15" s="8" t="s">
        <v>463</v>
      </c>
      <c r="G15" s="8" t="s">
        <v>464</v>
      </c>
      <c r="H15" s="8" t="s">
        <v>465</v>
      </c>
    </row>
    <row r="16" customFormat="false" ht="15" hidden="false" customHeight="false" outlineLevel="0" collapsed="false">
      <c r="A16" s="27" t="s">
        <v>153</v>
      </c>
      <c r="B16" s="4" t="s">
        <v>272</v>
      </c>
      <c r="C16" s="4" t="n">
        <v>5</v>
      </c>
      <c r="D16" s="8" t="s">
        <v>466</v>
      </c>
      <c r="E16" s="8" t="s">
        <v>467</v>
      </c>
      <c r="F16" s="29" t="s">
        <v>468</v>
      </c>
      <c r="G16" s="8" t="s">
        <v>469</v>
      </c>
      <c r="H16" s="8" t="s">
        <v>470</v>
      </c>
    </row>
    <row r="17" customFormat="false" ht="15" hidden="false" customHeight="false" outlineLevel="0" collapsed="false">
      <c r="A17" s="27" t="s">
        <v>154</v>
      </c>
      <c r="B17" s="4" t="s">
        <v>272</v>
      </c>
      <c r="C17" s="4" t="n">
        <v>5</v>
      </c>
      <c r="D17" s="8" t="s">
        <v>471</v>
      </c>
      <c r="E17" s="8" t="s">
        <v>472</v>
      </c>
      <c r="F17" s="8" t="s">
        <v>473</v>
      </c>
      <c r="G17" s="8" t="s">
        <v>474</v>
      </c>
      <c r="H17" s="8" t="s">
        <v>475</v>
      </c>
    </row>
    <row r="18" customFormat="false" ht="15" hidden="false" customHeight="false" outlineLevel="0" collapsed="false">
      <c r="A18" s="23" t="s">
        <v>159</v>
      </c>
      <c r="B18" s="4" t="s">
        <v>248</v>
      </c>
      <c r="C18" s="4" t="n">
        <v>1</v>
      </c>
      <c r="D18" s="8" t="s">
        <v>476</v>
      </c>
      <c r="E18" s="8" t="s">
        <v>477</v>
      </c>
      <c r="F18" s="8" t="s">
        <v>478</v>
      </c>
      <c r="G18" s="8" t="s">
        <v>479</v>
      </c>
      <c r="H18" s="8" t="s">
        <v>480</v>
      </c>
    </row>
    <row r="19" customFormat="false" ht="15" hidden="false" customHeight="false" outlineLevel="0" collapsed="false">
      <c r="A19" s="27" t="s">
        <v>158</v>
      </c>
      <c r="B19" s="4" t="s">
        <v>248</v>
      </c>
      <c r="C19" s="4" t="n">
        <v>5</v>
      </c>
      <c r="D19" s="8" t="s">
        <v>481</v>
      </c>
      <c r="E19" s="8" t="s">
        <v>482</v>
      </c>
      <c r="F19" s="8" t="s">
        <v>483</v>
      </c>
      <c r="G19" s="29" t="s">
        <v>484</v>
      </c>
      <c r="H19" s="8" t="s">
        <v>485</v>
      </c>
    </row>
    <row r="20" customFormat="false" ht="15" hidden="false" customHeight="false" outlineLevel="0" collapsed="false">
      <c r="A20" s="28" t="s">
        <v>160</v>
      </c>
      <c r="B20" s="4" t="s">
        <v>248</v>
      </c>
      <c r="C20" s="4" t="n">
        <v>6</v>
      </c>
      <c r="D20" s="8" t="s">
        <v>486</v>
      </c>
      <c r="E20" s="8" t="s">
        <v>487</v>
      </c>
      <c r="F20" s="8" t="s">
        <v>488</v>
      </c>
      <c r="G20" s="8" t="s">
        <v>489</v>
      </c>
      <c r="H20" s="8" t="s">
        <v>490</v>
      </c>
    </row>
    <row r="21" customFormat="false" ht="15" hidden="false" customHeight="false" outlineLevel="0" collapsed="false">
      <c r="A21" s="24" t="s">
        <v>163</v>
      </c>
      <c r="B21" s="4" t="s">
        <v>268</v>
      </c>
      <c r="C21" s="4" t="n">
        <v>2</v>
      </c>
      <c r="D21" s="8" t="s">
        <v>491</v>
      </c>
      <c r="E21" s="8" t="s">
        <v>492</v>
      </c>
      <c r="F21" s="8" t="s">
        <v>493</v>
      </c>
      <c r="G21" s="8" t="s">
        <v>494</v>
      </c>
      <c r="H21" s="8" t="s">
        <v>495</v>
      </c>
    </row>
    <row r="22" customFormat="false" ht="15" hidden="false" customHeight="false" outlineLevel="0" collapsed="false">
      <c r="A22" s="26" t="s">
        <v>162</v>
      </c>
      <c r="B22" s="4" t="s">
        <v>268</v>
      </c>
      <c r="C22" s="4" t="n">
        <v>4</v>
      </c>
      <c r="D22" s="8" t="s">
        <v>496</v>
      </c>
      <c r="E22" s="8" t="s">
        <v>497</v>
      </c>
      <c r="F22" s="8" t="s">
        <v>498</v>
      </c>
      <c r="G22" s="8" t="s">
        <v>499</v>
      </c>
      <c r="H22" s="8" t="s">
        <v>500</v>
      </c>
    </row>
    <row r="23" customFormat="false" ht="15" hidden="false" customHeight="false" outlineLevel="0" collapsed="false">
      <c r="A23" s="23" t="s">
        <v>169</v>
      </c>
      <c r="B23" s="4" t="s">
        <v>273</v>
      </c>
      <c r="C23" s="4" t="n">
        <v>1</v>
      </c>
      <c r="D23" s="8" t="s">
        <v>501</v>
      </c>
      <c r="E23" s="29" t="s">
        <v>502</v>
      </c>
      <c r="F23" s="8" t="s">
        <v>503</v>
      </c>
      <c r="G23" s="8" t="s">
        <v>504</v>
      </c>
      <c r="H23" s="8" t="s">
        <v>505</v>
      </c>
    </row>
    <row r="24" customFormat="false" ht="15" hidden="false" customHeight="false" outlineLevel="0" collapsed="false">
      <c r="A24" s="23" t="s">
        <v>170</v>
      </c>
      <c r="B24" s="4" t="s">
        <v>273</v>
      </c>
      <c r="C24" s="4" t="n">
        <v>1</v>
      </c>
      <c r="D24" s="8" t="s">
        <v>506</v>
      </c>
      <c r="E24" s="8" t="s">
        <v>507</v>
      </c>
      <c r="F24" s="8" t="s">
        <v>508</v>
      </c>
      <c r="G24" s="8" t="s">
        <v>509</v>
      </c>
      <c r="H24" s="8" t="s">
        <v>510</v>
      </c>
    </row>
    <row r="25" customFormat="false" ht="15" hidden="false" customHeight="false" outlineLevel="0" collapsed="false">
      <c r="A25" s="24" t="s">
        <v>165</v>
      </c>
      <c r="B25" s="4" t="s">
        <v>273</v>
      </c>
      <c r="C25" s="4" t="n">
        <v>2</v>
      </c>
      <c r="D25" s="8" t="s">
        <v>511</v>
      </c>
      <c r="E25" s="29" t="s">
        <v>512</v>
      </c>
      <c r="F25" s="8" t="s">
        <v>513</v>
      </c>
      <c r="G25" s="8" t="s">
        <v>514</v>
      </c>
      <c r="H25" s="8" t="s">
        <v>515</v>
      </c>
    </row>
    <row r="26" customFormat="false" ht="15" hidden="false" customHeight="false" outlineLevel="0" collapsed="false">
      <c r="A26" s="24" t="s">
        <v>168</v>
      </c>
      <c r="B26" s="4" t="s">
        <v>273</v>
      </c>
      <c r="C26" s="4" t="n">
        <v>2</v>
      </c>
      <c r="D26" s="8" t="s">
        <v>516</v>
      </c>
      <c r="E26" s="8" t="s">
        <v>517</v>
      </c>
      <c r="F26" s="8" t="s">
        <v>518</v>
      </c>
      <c r="G26" s="8" t="s">
        <v>519</v>
      </c>
      <c r="H26" s="8" t="s">
        <v>520</v>
      </c>
    </row>
    <row r="27" customFormat="false" ht="15" hidden="false" customHeight="false" outlineLevel="0" collapsed="false">
      <c r="A27" s="25" t="s">
        <v>167</v>
      </c>
      <c r="B27" s="4" t="s">
        <v>273</v>
      </c>
      <c r="C27" s="4" t="n">
        <v>3</v>
      </c>
      <c r="D27" s="8" t="s">
        <v>521</v>
      </c>
      <c r="E27" s="8" t="s">
        <v>522</v>
      </c>
      <c r="F27" s="8" t="s">
        <v>523</v>
      </c>
      <c r="G27" s="8" t="s">
        <v>524</v>
      </c>
      <c r="H27" s="29" t="s">
        <v>525</v>
      </c>
    </row>
    <row r="28" customFormat="false" ht="15" hidden="false" customHeight="false" outlineLevel="0" collapsed="false">
      <c r="A28" s="26" t="s">
        <v>166</v>
      </c>
      <c r="B28" s="4" t="s">
        <v>273</v>
      </c>
      <c r="C28" s="4" t="n">
        <v>4</v>
      </c>
      <c r="D28" s="8" t="s">
        <v>526</v>
      </c>
      <c r="E28" s="8" t="s">
        <v>527</v>
      </c>
      <c r="F28" s="8" t="s">
        <v>528</v>
      </c>
      <c r="G28" s="29" t="s">
        <v>529</v>
      </c>
      <c r="H28" s="8" t="s">
        <v>530</v>
      </c>
    </row>
    <row r="29" customFormat="false" ht="15" hidden="false" customHeight="false" outlineLevel="0" collapsed="false">
      <c r="A29" s="26" t="s">
        <v>172</v>
      </c>
      <c r="B29" s="4" t="s">
        <v>273</v>
      </c>
      <c r="C29" s="4" t="n">
        <v>4</v>
      </c>
      <c r="D29" s="8" t="s">
        <v>531</v>
      </c>
      <c r="E29" s="8" t="s">
        <v>532</v>
      </c>
      <c r="F29" s="8" t="s">
        <v>533</v>
      </c>
      <c r="G29" s="8" t="s">
        <v>534</v>
      </c>
      <c r="H29" s="8" t="s">
        <v>535</v>
      </c>
    </row>
    <row r="30" customFormat="false" ht="15" hidden="false" customHeight="false" outlineLevel="0" collapsed="false">
      <c r="A30" s="27" t="s">
        <v>171</v>
      </c>
      <c r="B30" s="4" t="s">
        <v>273</v>
      </c>
      <c r="C30" s="4" t="n">
        <v>5</v>
      </c>
      <c r="D30" s="8" t="s">
        <v>536</v>
      </c>
      <c r="E30" s="8" t="s">
        <v>537</v>
      </c>
      <c r="F30" s="8" t="s">
        <v>538</v>
      </c>
      <c r="G30" s="8" t="s">
        <v>539</v>
      </c>
      <c r="H30" s="8" t="s">
        <v>540</v>
      </c>
    </row>
    <row r="31" customFormat="false" ht="15" hidden="false" customHeight="false" outlineLevel="0" collapsed="false">
      <c r="A31" s="23" t="s">
        <v>180</v>
      </c>
      <c r="B31" s="4" t="s">
        <v>317</v>
      </c>
      <c r="C31" s="4" t="n">
        <v>1</v>
      </c>
      <c r="D31" s="8" t="s">
        <v>541</v>
      </c>
      <c r="E31" s="8" t="s">
        <v>542</v>
      </c>
      <c r="F31" s="29" t="s">
        <v>543</v>
      </c>
      <c r="G31" s="8" t="s">
        <v>544</v>
      </c>
      <c r="H31" s="8" t="s">
        <v>545</v>
      </c>
    </row>
    <row r="32" customFormat="false" ht="15" hidden="false" customHeight="false" outlineLevel="0" collapsed="false">
      <c r="A32" s="23" t="s">
        <v>181</v>
      </c>
      <c r="B32" s="4" t="s">
        <v>317</v>
      </c>
      <c r="C32" s="4" t="n">
        <v>1</v>
      </c>
      <c r="D32" s="8" t="s">
        <v>546</v>
      </c>
      <c r="E32" s="8" t="s">
        <v>547</v>
      </c>
      <c r="F32" s="8" t="s">
        <v>548</v>
      </c>
      <c r="G32" s="8" t="s">
        <v>549</v>
      </c>
      <c r="H32" s="8" t="s">
        <v>550</v>
      </c>
    </row>
    <row r="33" customFormat="false" ht="15" hidden="false" customHeight="false" outlineLevel="0" collapsed="false">
      <c r="A33" s="25" t="s">
        <v>182</v>
      </c>
      <c r="B33" s="4" t="s">
        <v>317</v>
      </c>
      <c r="C33" s="4" t="n">
        <v>3</v>
      </c>
      <c r="D33" s="29" t="s">
        <v>551</v>
      </c>
      <c r="E33" s="8" t="s">
        <v>552</v>
      </c>
      <c r="F33" s="8" t="s">
        <v>553</v>
      </c>
      <c r="G33" s="8" t="s">
        <v>554</v>
      </c>
      <c r="H33" s="8" t="s">
        <v>555</v>
      </c>
    </row>
    <row r="34" customFormat="false" ht="15" hidden="false" customHeight="false" outlineLevel="0" collapsed="false">
      <c r="A34" s="25" t="s">
        <v>184</v>
      </c>
      <c r="B34" s="4" t="s">
        <v>317</v>
      </c>
      <c r="C34" s="4" t="n">
        <v>3</v>
      </c>
      <c r="D34" s="8" t="s">
        <v>556</v>
      </c>
      <c r="E34" s="8" t="s">
        <v>557</v>
      </c>
      <c r="F34" s="8" t="s">
        <v>558</v>
      </c>
      <c r="G34" s="8" t="s">
        <v>559</v>
      </c>
      <c r="H34" s="8" t="s">
        <v>560</v>
      </c>
    </row>
    <row r="35" customFormat="false" ht="15" hidden="false" customHeight="false" outlineLevel="0" collapsed="false">
      <c r="A35" s="26" t="s">
        <v>178</v>
      </c>
      <c r="B35" s="4" t="s">
        <v>317</v>
      </c>
      <c r="C35" s="4" t="n">
        <v>4</v>
      </c>
      <c r="D35" s="8" t="s">
        <v>561</v>
      </c>
      <c r="E35" s="8" t="s">
        <v>562</v>
      </c>
      <c r="F35" s="8" t="s">
        <v>563</v>
      </c>
      <c r="G35" s="8" t="s">
        <v>564</v>
      </c>
      <c r="H35" s="29" t="s">
        <v>565</v>
      </c>
    </row>
    <row r="36" customFormat="false" ht="15" hidden="false" customHeight="false" outlineLevel="0" collapsed="false">
      <c r="A36" s="26" t="s">
        <v>185</v>
      </c>
      <c r="B36" s="4" t="s">
        <v>317</v>
      </c>
      <c r="C36" s="4" t="n">
        <v>4</v>
      </c>
      <c r="D36" s="29" t="s">
        <v>566</v>
      </c>
      <c r="E36" s="8" t="s">
        <v>567</v>
      </c>
      <c r="F36" s="8" t="s">
        <v>568</v>
      </c>
      <c r="G36" s="8" t="s">
        <v>569</v>
      </c>
      <c r="H36" s="8" t="s">
        <v>570</v>
      </c>
    </row>
    <row r="37" customFormat="false" ht="15" hidden="false" customHeight="false" outlineLevel="0" collapsed="false">
      <c r="A37" s="26" t="s">
        <v>179</v>
      </c>
      <c r="B37" s="4" t="s">
        <v>317</v>
      </c>
      <c r="C37" s="4" t="n">
        <v>4</v>
      </c>
      <c r="D37" s="8" t="s">
        <v>571</v>
      </c>
      <c r="E37" s="8" t="s">
        <v>572</v>
      </c>
      <c r="F37" s="8" t="s">
        <v>573</v>
      </c>
      <c r="G37" s="8" t="s">
        <v>574</v>
      </c>
      <c r="H37" s="8" t="s">
        <v>575</v>
      </c>
    </row>
    <row r="38" customFormat="false" ht="15" hidden="false" customHeight="false" outlineLevel="0" collapsed="false">
      <c r="A38" s="27" t="s">
        <v>183</v>
      </c>
      <c r="B38" s="4" t="s">
        <v>317</v>
      </c>
      <c r="C38" s="4" t="n">
        <v>5</v>
      </c>
      <c r="D38" s="8" t="s">
        <v>576</v>
      </c>
      <c r="E38" s="8" t="s">
        <v>577</v>
      </c>
      <c r="F38" s="8" t="s">
        <v>578</v>
      </c>
      <c r="G38" s="8" t="s">
        <v>579</v>
      </c>
      <c r="H38" s="29" t="s">
        <v>580</v>
      </c>
    </row>
    <row r="39" customFormat="false" ht="15" hidden="false" customHeight="false" outlineLevel="0" collapsed="false">
      <c r="A39" s="24" t="s">
        <v>187</v>
      </c>
      <c r="B39" s="4" t="s">
        <v>344</v>
      </c>
      <c r="C39" s="4" t="n">
        <v>2</v>
      </c>
      <c r="D39" s="8" t="s">
        <v>581</v>
      </c>
      <c r="E39" s="8" t="s">
        <v>582</v>
      </c>
      <c r="F39" s="29" t="s">
        <v>583</v>
      </c>
      <c r="G39" s="8" t="s">
        <v>584</v>
      </c>
      <c r="H39" s="8" t="s">
        <v>585</v>
      </c>
    </row>
    <row r="40" customFormat="false" ht="15" hidden="false" customHeight="false" outlineLevel="0" collapsed="false">
      <c r="A40" s="23" t="s">
        <v>190</v>
      </c>
      <c r="B40" s="4" t="s">
        <v>347</v>
      </c>
      <c r="C40" s="4" t="n">
        <v>1</v>
      </c>
      <c r="D40" s="8" t="s">
        <v>586</v>
      </c>
      <c r="E40" s="8" t="s">
        <v>587</v>
      </c>
      <c r="F40" s="8" t="s">
        <v>588</v>
      </c>
      <c r="G40" s="29" t="s">
        <v>589</v>
      </c>
      <c r="H40" s="8" t="s">
        <v>590</v>
      </c>
    </row>
    <row r="41" customFormat="false" ht="15" hidden="false" customHeight="false" outlineLevel="0" collapsed="false">
      <c r="A41" s="26" t="s">
        <v>189</v>
      </c>
      <c r="B41" s="4" t="s">
        <v>347</v>
      </c>
      <c r="C41" s="4" t="n">
        <v>4</v>
      </c>
      <c r="D41" s="8" t="s">
        <v>591</v>
      </c>
      <c r="E41" s="29" t="s">
        <v>592</v>
      </c>
      <c r="F41" s="8" t="s">
        <v>593</v>
      </c>
      <c r="G41" s="8" t="s">
        <v>594</v>
      </c>
      <c r="H41" s="8" t="s">
        <v>595</v>
      </c>
    </row>
    <row r="42" customFormat="false" ht="15" hidden="false" customHeight="false" outlineLevel="0" collapsed="false">
      <c r="A42" s="26" t="s">
        <v>191</v>
      </c>
      <c r="B42" s="4" t="s">
        <v>347</v>
      </c>
      <c r="C42" s="4" t="n">
        <v>4</v>
      </c>
      <c r="D42" s="8" t="s">
        <v>596</v>
      </c>
      <c r="E42" s="8" t="s">
        <v>597</v>
      </c>
      <c r="F42" s="8" t="s">
        <v>598</v>
      </c>
      <c r="G42" s="8" t="s">
        <v>599</v>
      </c>
      <c r="H42" s="8" t="s">
        <v>600</v>
      </c>
    </row>
    <row r="43" customFormat="false" ht="15" hidden="false" customHeight="false" outlineLevel="0" collapsed="false">
      <c r="A43" s="25" t="s">
        <v>193</v>
      </c>
      <c r="B43" s="4" t="s">
        <v>355</v>
      </c>
      <c r="C43" s="4" t="n">
        <v>3</v>
      </c>
      <c r="D43" s="8" t="s">
        <v>601</v>
      </c>
      <c r="E43" s="29" t="s">
        <v>602</v>
      </c>
      <c r="F43" s="8" t="s">
        <v>603</v>
      </c>
      <c r="G43" s="8" t="s">
        <v>604</v>
      </c>
      <c r="H43" s="8" t="s">
        <v>605</v>
      </c>
    </row>
    <row r="44" customFormat="false" ht="15" hidden="false" customHeight="false" outlineLevel="0" collapsed="false">
      <c r="A44" s="23" t="s">
        <v>195</v>
      </c>
      <c r="B44" s="4" t="s">
        <v>318</v>
      </c>
      <c r="C44" s="4" t="n">
        <v>1</v>
      </c>
      <c r="D44" s="8" t="s">
        <v>606</v>
      </c>
      <c r="E44" s="8" t="s">
        <v>607</v>
      </c>
      <c r="F44" s="8" t="s">
        <v>608</v>
      </c>
      <c r="G44" s="8" t="s">
        <v>609</v>
      </c>
      <c r="H44" s="8" t="s">
        <v>610</v>
      </c>
    </row>
    <row r="45" customFormat="false" ht="15" hidden="false" customHeight="false" outlineLevel="0" collapsed="false">
      <c r="A45" s="23" t="s">
        <v>199</v>
      </c>
      <c r="B45" s="4" t="s">
        <v>318</v>
      </c>
      <c r="C45" s="4" t="n">
        <v>1</v>
      </c>
      <c r="D45" s="8" t="s">
        <v>611</v>
      </c>
      <c r="E45" s="8" t="s">
        <v>612</v>
      </c>
      <c r="F45" s="8" t="s">
        <v>613</v>
      </c>
      <c r="G45" s="8" t="s">
        <v>614</v>
      </c>
      <c r="H45" s="29" t="s">
        <v>615</v>
      </c>
    </row>
    <row r="46" customFormat="false" ht="15" hidden="false" customHeight="false" outlineLevel="0" collapsed="false">
      <c r="A46" s="24" t="s">
        <v>202</v>
      </c>
      <c r="B46" s="4" t="s">
        <v>318</v>
      </c>
      <c r="C46" s="4" t="n">
        <v>2</v>
      </c>
      <c r="D46" s="8" t="s">
        <v>616</v>
      </c>
      <c r="E46" s="8" t="s">
        <v>617</v>
      </c>
      <c r="F46" s="8" t="s">
        <v>618</v>
      </c>
      <c r="G46" s="8" t="s">
        <v>619</v>
      </c>
      <c r="H46" s="8" t="s">
        <v>620</v>
      </c>
    </row>
    <row r="47" customFormat="false" ht="15" hidden="false" customHeight="false" outlineLevel="0" collapsed="false">
      <c r="A47" s="25" t="s">
        <v>197</v>
      </c>
      <c r="B47" s="4" t="s">
        <v>318</v>
      </c>
      <c r="C47" s="4" t="n">
        <v>3</v>
      </c>
      <c r="D47" s="8" t="s">
        <v>621</v>
      </c>
      <c r="E47" s="8" t="s">
        <v>622</v>
      </c>
      <c r="F47" s="8" t="s">
        <v>623</v>
      </c>
      <c r="G47" s="8" t="s">
        <v>624</v>
      </c>
      <c r="H47" s="8" t="s">
        <v>625</v>
      </c>
    </row>
    <row r="48" customFormat="false" ht="15" hidden="false" customHeight="false" outlineLevel="0" collapsed="false">
      <c r="A48" s="27" t="s">
        <v>201</v>
      </c>
      <c r="B48" s="4" t="s">
        <v>318</v>
      </c>
      <c r="C48" s="4" t="n">
        <v>5</v>
      </c>
      <c r="D48" s="29" t="s">
        <v>626</v>
      </c>
      <c r="E48" s="8" t="s">
        <v>627</v>
      </c>
      <c r="F48" s="8" t="s">
        <v>628</v>
      </c>
      <c r="G48" s="8" t="s">
        <v>629</v>
      </c>
      <c r="H48" s="8" t="s">
        <v>630</v>
      </c>
    </row>
    <row r="49" customFormat="false" ht="15" hidden="false" customHeight="false" outlineLevel="0" collapsed="false">
      <c r="A49" s="27" t="s">
        <v>200</v>
      </c>
      <c r="B49" s="4" t="s">
        <v>318</v>
      </c>
      <c r="C49" s="4" t="n">
        <v>5</v>
      </c>
      <c r="D49" s="8" t="s">
        <v>631</v>
      </c>
      <c r="E49" s="8" t="s">
        <v>632</v>
      </c>
      <c r="F49" s="8" t="s">
        <v>633</v>
      </c>
      <c r="G49" s="8" t="s">
        <v>634</v>
      </c>
      <c r="H49" s="8" t="s">
        <v>635</v>
      </c>
    </row>
    <row r="50" customFormat="false" ht="15" hidden="false" customHeight="false" outlineLevel="0" collapsed="false">
      <c r="A50" s="28" t="s">
        <v>196</v>
      </c>
      <c r="B50" s="4" t="s">
        <v>318</v>
      </c>
      <c r="C50" s="4" t="n">
        <v>6</v>
      </c>
      <c r="D50" s="8" t="s">
        <v>636</v>
      </c>
      <c r="E50" s="8" t="s">
        <v>637</v>
      </c>
      <c r="F50" s="8" t="s">
        <v>638</v>
      </c>
      <c r="G50" s="8" t="s">
        <v>639</v>
      </c>
      <c r="H50" s="29" t="s">
        <v>640</v>
      </c>
    </row>
    <row r="51" customFormat="false" ht="15" hidden="false" customHeight="false" outlineLevel="0" collapsed="false">
      <c r="A51" s="28" t="s">
        <v>198</v>
      </c>
      <c r="B51" s="4" t="s">
        <v>318</v>
      </c>
      <c r="C51" s="4" t="n">
        <v>6</v>
      </c>
      <c r="D51" s="29" t="s">
        <v>641</v>
      </c>
      <c r="E51" s="8" t="s">
        <v>642</v>
      </c>
      <c r="F51" s="8" t="s">
        <v>643</v>
      </c>
      <c r="G51" s="8" t="s">
        <v>644</v>
      </c>
      <c r="H51" s="8" t="s">
        <v>645</v>
      </c>
    </row>
    <row r="52" customFormat="false" ht="15" hidden="false" customHeight="false" outlineLevel="0" collapsed="false">
      <c r="A52" s="23" t="s">
        <v>206</v>
      </c>
      <c r="B52" s="4" t="s">
        <v>348</v>
      </c>
      <c r="C52" s="4" t="n">
        <v>1</v>
      </c>
      <c r="D52" s="8" t="s">
        <v>646</v>
      </c>
      <c r="E52" s="8" t="s">
        <v>647</v>
      </c>
      <c r="F52" s="8" t="s">
        <v>648</v>
      </c>
      <c r="G52" s="8" t="s">
        <v>649</v>
      </c>
      <c r="H52" s="8" t="s">
        <v>650</v>
      </c>
    </row>
    <row r="53" customFormat="false" ht="15" hidden="false" customHeight="false" outlineLevel="0" collapsed="false">
      <c r="A53" s="24" t="s">
        <v>205</v>
      </c>
      <c r="B53" s="4" t="s">
        <v>348</v>
      </c>
      <c r="C53" s="4" t="n">
        <v>2</v>
      </c>
      <c r="D53" s="8" t="s">
        <v>651</v>
      </c>
      <c r="E53" s="8" t="s">
        <v>652</v>
      </c>
      <c r="F53" s="8" t="s">
        <v>653</v>
      </c>
      <c r="G53" s="29" t="s">
        <v>654</v>
      </c>
      <c r="H53" s="8" t="s">
        <v>655</v>
      </c>
    </row>
    <row r="54" customFormat="false" ht="15" hidden="false" customHeight="false" outlineLevel="0" collapsed="false">
      <c r="A54" s="23" t="s">
        <v>209</v>
      </c>
      <c r="B54" s="4" t="s">
        <v>356</v>
      </c>
      <c r="C54" s="4" t="n">
        <v>1</v>
      </c>
      <c r="D54" s="8" t="s">
        <v>656</v>
      </c>
      <c r="E54" s="8" t="s">
        <v>657</v>
      </c>
      <c r="F54" s="8" t="s">
        <v>658</v>
      </c>
      <c r="G54" s="8" t="s">
        <v>659</v>
      </c>
      <c r="H54" s="8" t="s">
        <v>660</v>
      </c>
    </row>
    <row r="55" customFormat="false" ht="15" hidden="false" customHeight="false" outlineLevel="0" collapsed="false">
      <c r="A55" s="24" t="s">
        <v>208</v>
      </c>
      <c r="B55" s="4" t="s">
        <v>356</v>
      </c>
      <c r="C55" s="4" t="n">
        <v>2</v>
      </c>
      <c r="D55" s="8" t="s">
        <v>661</v>
      </c>
      <c r="E55" s="8" t="s">
        <v>662</v>
      </c>
      <c r="F55" s="8" t="s">
        <v>663</v>
      </c>
      <c r="G55" s="8" t="s">
        <v>664</v>
      </c>
      <c r="H55" s="8" t="s">
        <v>665</v>
      </c>
    </row>
    <row r="56" customFormat="false" ht="15" hidden="false" customHeight="false" outlineLevel="0" collapsed="false">
      <c r="A56" s="24" t="s">
        <v>212</v>
      </c>
      <c r="B56" s="4" t="s">
        <v>360</v>
      </c>
      <c r="C56" s="4" t="n">
        <v>2</v>
      </c>
      <c r="D56" s="8" t="s">
        <v>666</v>
      </c>
      <c r="E56" s="8" t="s">
        <v>667</v>
      </c>
      <c r="F56" s="8" t="s">
        <v>668</v>
      </c>
      <c r="G56" s="8" t="s">
        <v>669</v>
      </c>
      <c r="H56" s="29" t="s">
        <v>670</v>
      </c>
    </row>
    <row r="57" customFormat="false" ht="15" hidden="false" customHeight="false" outlineLevel="0" collapsed="false">
      <c r="A57" s="24" t="s">
        <v>218</v>
      </c>
      <c r="B57" s="4" t="s">
        <v>360</v>
      </c>
      <c r="C57" s="4" t="n">
        <v>2</v>
      </c>
      <c r="D57" s="8" t="s">
        <v>671</v>
      </c>
      <c r="E57" s="8" t="s">
        <v>672</v>
      </c>
      <c r="F57" s="8" t="s">
        <v>673</v>
      </c>
      <c r="G57" s="8" t="s">
        <v>674</v>
      </c>
      <c r="H57" s="8" t="s">
        <v>675</v>
      </c>
    </row>
    <row r="58" customFormat="false" ht="15" hidden="false" customHeight="false" outlineLevel="0" collapsed="false">
      <c r="A58" s="25" t="s">
        <v>214</v>
      </c>
      <c r="B58" s="4" t="s">
        <v>360</v>
      </c>
      <c r="C58" s="4" t="n">
        <v>3</v>
      </c>
      <c r="D58" s="8" t="s">
        <v>676</v>
      </c>
      <c r="E58" s="8" t="s">
        <v>677</v>
      </c>
      <c r="F58" s="29" t="s">
        <v>678</v>
      </c>
      <c r="G58" s="8" t="s">
        <v>679</v>
      </c>
      <c r="H58" s="8" t="s">
        <v>680</v>
      </c>
    </row>
    <row r="59" customFormat="false" ht="15" hidden="false" customHeight="false" outlineLevel="0" collapsed="false">
      <c r="A59" s="25" t="s">
        <v>217</v>
      </c>
      <c r="B59" s="4" t="s">
        <v>360</v>
      </c>
      <c r="C59" s="4" t="n">
        <v>3</v>
      </c>
      <c r="D59" s="8" t="s">
        <v>681</v>
      </c>
      <c r="E59" s="8" t="s">
        <v>682</v>
      </c>
      <c r="F59" s="8" t="s">
        <v>683</v>
      </c>
      <c r="G59" s="8" t="s">
        <v>684</v>
      </c>
      <c r="H59" s="8" t="s">
        <v>685</v>
      </c>
    </row>
    <row r="60" customFormat="false" ht="15" hidden="false" customHeight="false" outlineLevel="0" collapsed="false">
      <c r="A60" s="26" t="s">
        <v>211</v>
      </c>
      <c r="B60" s="4" t="s">
        <v>360</v>
      </c>
      <c r="C60" s="4" t="n">
        <v>4</v>
      </c>
      <c r="D60" s="8" t="s">
        <v>686</v>
      </c>
      <c r="E60" s="8" t="s">
        <v>687</v>
      </c>
      <c r="F60" s="29" t="s">
        <v>688</v>
      </c>
      <c r="G60" s="8" t="s">
        <v>689</v>
      </c>
      <c r="H60" s="8" t="s">
        <v>690</v>
      </c>
    </row>
    <row r="61" customFormat="false" ht="15" hidden="false" customHeight="false" outlineLevel="0" collapsed="false">
      <c r="A61" s="27" t="s">
        <v>215</v>
      </c>
      <c r="B61" s="4" t="s">
        <v>360</v>
      </c>
      <c r="C61" s="4" t="n">
        <v>5</v>
      </c>
      <c r="D61" s="8" t="s">
        <v>691</v>
      </c>
      <c r="E61" s="29" t="s">
        <v>692</v>
      </c>
      <c r="F61" s="8" t="s">
        <v>693</v>
      </c>
      <c r="G61" s="8" t="s">
        <v>694</v>
      </c>
      <c r="H61" s="8" t="s">
        <v>695</v>
      </c>
    </row>
    <row r="62" customFormat="false" ht="15" hidden="false" customHeight="false" outlineLevel="0" collapsed="false">
      <c r="A62" s="27" t="s">
        <v>213</v>
      </c>
      <c r="B62" s="4" t="s">
        <v>360</v>
      </c>
      <c r="C62" s="4" t="n">
        <v>5</v>
      </c>
      <c r="D62" s="8" t="s">
        <v>696</v>
      </c>
      <c r="E62" s="8" t="s">
        <v>697</v>
      </c>
      <c r="F62" s="8" t="s">
        <v>698</v>
      </c>
      <c r="G62" s="8" t="s">
        <v>699</v>
      </c>
      <c r="H62" s="8" t="s">
        <v>700</v>
      </c>
    </row>
    <row r="63" customFormat="false" ht="15" hidden="false" customHeight="false" outlineLevel="0" collapsed="false">
      <c r="A63" s="28" t="s">
        <v>216</v>
      </c>
      <c r="B63" s="4" t="s">
        <v>360</v>
      </c>
      <c r="C63" s="4" t="n">
        <v>6</v>
      </c>
      <c r="D63" s="8" t="s">
        <v>701</v>
      </c>
      <c r="E63" s="8" t="s">
        <v>702</v>
      </c>
      <c r="F63" s="8" t="s">
        <v>703</v>
      </c>
      <c r="G63" s="8" t="s">
        <v>704</v>
      </c>
      <c r="H63" s="8" t="s">
        <v>705</v>
      </c>
    </row>
    <row r="64" customFormat="false" ht="15" hidden="false" customHeight="false" outlineLevel="0" collapsed="false">
      <c r="A64" s="28" t="s">
        <v>219</v>
      </c>
      <c r="B64" s="4" t="s">
        <v>360</v>
      </c>
      <c r="C64" s="4" t="n">
        <v>6</v>
      </c>
      <c r="D64" s="8" t="s">
        <v>706</v>
      </c>
      <c r="E64" s="29" t="s">
        <v>707</v>
      </c>
      <c r="F64" s="8" t="s">
        <v>708</v>
      </c>
      <c r="G64" s="8" t="s">
        <v>709</v>
      </c>
      <c r="H64" s="8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30"/>
  </cols>
  <sheetData>
    <row r="1" customFormat="false" ht="17.35" hidden="false" customHeight="false" outlineLevel="0" collapsed="false">
      <c r="A1" s="1" t="s">
        <v>711</v>
      </c>
    </row>
    <row r="3" customFormat="false" ht="15" hidden="false" customHeight="false" outlineLevel="0" collapsed="false">
      <c r="A3" s="6" t="s">
        <v>712</v>
      </c>
    </row>
    <row r="4" customFormat="false" ht="15" hidden="false" customHeight="false" outlineLevel="0" collapsed="false">
      <c r="A4" s="3" t="s">
        <v>67</v>
      </c>
      <c r="B4" s="3" t="s">
        <v>713</v>
      </c>
      <c r="C4" s="3" t="s">
        <v>714</v>
      </c>
      <c r="D4" s="3" t="s">
        <v>715</v>
      </c>
    </row>
    <row r="5" customFormat="false" ht="15" hidden="false" customHeight="false" outlineLevel="0" collapsed="false">
      <c r="A5" s="4" t="s">
        <v>716</v>
      </c>
      <c r="B5" s="4" t="s">
        <v>717</v>
      </c>
      <c r="C5" s="4" t="s">
        <v>718</v>
      </c>
      <c r="D5" s="4" t="s">
        <v>719</v>
      </c>
    </row>
    <row r="6" customFormat="false" ht="15" hidden="false" customHeight="false" outlineLevel="0" collapsed="false">
      <c r="A6" s="4" t="s">
        <v>720</v>
      </c>
      <c r="B6" s="4" t="s">
        <v>721</v>
      </c>
      <c r="C6" s="4" t="s">
        <v>722</v>
      </c>
      <c r="D6" s="4" t="s">
        <v>723</v>
      </c>
    </row>
    <row r="7" customFormat="false" ht="15" hidden="false" customHeight="false" outlineLevel="0" collapsed="false">
      <c r="A7" s="4" t="s">
        <v>724</v>
      </c>
      <c r="B7" s="4" t="s">
        <v>725</v>
      </c>
      <c r="C7" s="4" t="s">
        <v>726</v>
      </c>
      <c r="D7" s="4" t="s">
        <v>727</v>
      </c>
    </row>
    <row r="8" customFormat="false" ht="15" hidden="false" customHeight="false" outlineLevel="0" collapsed="false">
      <c r="A8" s="4" t="s">
        <v>728</v>
      </c>
      <c r="B8" s="4" t="s">
        <v>729</v>
      </c>
      <c r="C8" s="4" t="s">
        <v>730</v>
      </c>
      <c r="D8" s="4" t="s">
        <v>731</v>
      </c>
    </row>
    <row r="9" customFormat="false" ht="15" hidden="false" customHeight="false" outlineLevel="0" collapsed="false">
      <c r="A9" s="4" t="s">
        <v>732</v>
      </c>
      <c r="B9" s="4" t="s">
        <v>733</v>
      </c>
      <c r="C9" s="4" t="s">
        <v>734</v>
      </c>
      <c r="D9" s="4" t="s">
        <v>735</v>
      </c>
    </row>
    <row r="10" customFormat="false" ht="15" hidden="false" customHeight="false" outlineLevel="0" collapsed="false">
      <c r="A10" s="4" t="s">
        <v>736</v>
      </c>
      <c r="B10" s="4" t="s">
        <v>737</v>
      </c>
      <c r="C10" s="4" t="s">
        <v>738</v>
      </c>
      <c r="D10" s="4" t="s">
        <v>739</v>
      </c>
    </row>
    <row r="11" customFormat="false" ht="15" hidden="false" customHeight="false" outlineLevel="0" collapsed="false">
      <c r="A11" s="4" t="s">
        <v>740</v>
      </c>
      <c r="B11" s="4" t="s">
        <v>741</v>
      </c>
      <c r="C11" s="4" t="s">
        <v>742</v>
      </c>
      <c r="D11" s="4" t="s">
        <v>743</v>
      </c>
    </row>
    <row r="12" customFormat="false" ht="15" hidden="false" customHeight="false" outlineLevel="0" collapsed="false">
      <c r="A12" s="4" t="s">
        <v>744</v>
      </c>
      <c r="B12" s="4" t="s">
        <v>745</v>
      </c>
      <c r="C12" s="4" t="s">
        <v>746</v>
      </c>
      <c r="D12" s="4" t="s">
        <v>747</v>
      </c>
    </row>
    <row r="13" customFormat="false" ht="15" hidden="false" customHeight="false" outlineLevel="0" collapsed="false">
      <c r="A13" s="4" t="s">
        <v>748</v>
      </c>
      <c r="B13" s="4" t="s">
        <v>749</v>
      </c>
      <c r="C13" s="4" t="s">
        <v>750</v>
      </c>
      <c r="D13" s="4" t="s">
        <v>751</v>
      </c>
    </row>
    <row r="14" customFormat="false" ht="15" hidden="false" customHeight="false" outlineLevel="0" collapsed="false">
      <c r="A14" s="4" t="s">
        <v>752</v>
      </c>
      <c r="B14" s="4" t="s">
        <v>753</v>
      </c>
      <c r="C14" s="4" t="s">
        <v>754</v>
      </c>
      <c r="D14" s="4" t="s">
        <v>754</v>
      </c>
    </row>
    <row r="15" customFormat="false" ht="15" hidden="false" customHeight="false" outlineLevel="0" collapsed="false">
      <c r="A15" s="4" t="s">
        <v>755</v>
      </c>
      <c r="B15" s="4" t="s">
        <v>756</v>
      </c>
      <c r="C15" s="4" t="s">
        <v>757</v>
      </c>
      <c r="D15" s="4" t="s">
        <v>758</v>
      </c>
    </row>
    <row r="16" customFormat="false" ht="15" hidden="false" customHeight="false" outlineLevel="0" collapsed="false">
      <c r="A16" s="4" t="s">
        <v>759</v>
      </c>
      <c r="B16" s="4" t="s">
        <v>760</v>
      </c>
      <c r="C16" s="4" t="s">
        <v>761</v>
      </c>
      <c r="D16" s="4" t="s">
        <v>762</v>
      </c>
    </row>
    <row r="17" customFormat="false" ht="15" hidden="false" customHeight="false" outlineLevel="0" collapsed="false">
      <c r="A17" s="2" t="s">
        <v>763</v>
      </c>
    </row>
    <row r="19" customFormat="false" ht="15" hidden="false" customHeight="false" outlineLevel="0" collapsed="false">
      <c r="A19" s="6" t="s">
        <v>764</v>
      </c>
    </row>
    <row r="20" customFormat="false" ht="15" hidden="false" customHeight="false" outlineLevel="0" collapsed="false">
      <c r="A20" s="3" t="s">
        <v>765</v>
      </c>
      <c r="B20" s="3" t="s">
        <v>766</v>
      </c>
    </row>
    <row r="21" customFormat="false" ht="15" hidden="false" customHeight="false" outlineLevel="0" collapsed="false">
      <c r="A21" s="4" t="s">
        <v>767</v>
      </c>
      <c r="B21" s="4" t="s">
        <v>768</v>
      </c>
    </row>
    <row r="22" customFormat="false" ht="15" hidden="false" customHeight="false" outlineLevel="0" collapsed="false">
      <c r="A22" s="4" t="s">
        <v>769</v>
      </c>
      <c r="B22" s="4" t="s">
        <v>770</v>
      </c>
    </row>
    <row r="23" customFormat="false" ht="15" hidden="false" customHeight="false" outlineLevel="0" collapsed="false">
      <c r="A23" s="4" t="s">
        <v>771</v>
      </c>
      <c r="B23" s="4" t="s">
        <v>772</v>
      </c>
    </row>
    <row r="24" customFormat="false" ht="15" hidden="false" customHeight="false" outlineLevel="0" collapsed="false">
      <c r="A24" s="4" t="s">
        <v>773</v>
      </c>
      <c r="B24" s="4" t="s">
        <v>774</v>
      </c>
    </row>
    <row r="25" customFormat="false" ht="15" hidden="false" customHeight="false" outlineLevel="0" collapsed="false">
      <c r="A25" s="4" t="s">
        <v>775</v>
      </c>
      <c r="B25" s="4" t="s">
        <v>776</v>
      </c>
    </row>
    <row r="26" customFormat="false" ht="15" hidden="false" customHeight="false" outlineLevel="0" collapsed="false">
      <c r="A26" s="4" t="s">
        <v>777</v>
      </c>
      <c r="B26" s="4" t="s">
        <v>778</v>
      </c>
    </row>
    <row r="27" customFormat="false" ht="15" hidden="false" customHeight="false" outlineLevel="0" collapsed="false">
      <c r="A27" s="4" t="s">
        <v>779</v>
      </c>
      <c r="B27" s="4" t="s">
        <v>780</v>
      </c>
    </row>
    <row r="28" customFormat="false" ht="15" hidden="false" customHeight="false" outlineLevel="0" collapsed="false">
      <c r="A28" s="4"/>
      <c r="B28" s="4" t="s">
        <v>781</v>
      </c>
    </row>
    <row r="29" customFormat="false" ht="15" hidden="false" customHeight="false" outlineLevel="0" collapsed="false">
      <c r="A29" s="4"/>
      <c r="B29" s="4" t="s">
        <v>782</v>
      </c>
    </row>
    <row r="31" customFormat="false" ht="15" hidden="false" customHeight="false" outlineLevel="0" collapsed="false">
      <c r="A31" s="6" t="s">
        <v>783</v>
      </c>
    </row>
    <row r="32" customFormat="false" ht="15" hidden="false" customHeight="false" outlineLevel="0" collapsed="false">
      <c r="A32" s="3" t="s">
        <v>126</v>
      </c>
      <c r="B32" s="3" t="s">
        <v>784</v>
      </c>
      <c r="C32" s="3" t="s">
        <v>126</v>
      </c>
      <c r="D32" s="3" t="s">
        <v>784</v>
      </c>
    </row>
    <row r="33" customFormat="false" ht="15" hidden="false" customHeight="false" outlineLevel="0" collapsed="false">
      <c r="A33" s="4" t="s">
        <v>140</v>
      </c>
      <c r="B33" s="8" t="s">
        <v>785</v>
      </c>
      <c r="C33" s="4" t="s">
        <v>186</v>
      </c>
      <c r="D33" s="8" t="s">
        <v>785</v>
      </c>
    </row>
    <row r="34" customFormat="false" ht="15" hidden="false" customHeight="false" outlineLevel="0" collapsed="false">
      <c r="A34" s="4" t="s">
        <v>147</v>
      </c>
      <c r="B34" s="8" t="s">
        <v>785</v>
      </c>
      <c r="C34" s="4" t="s">
        <v>188</v>
      </c>
      <c r="D34" s="8" t="s">
        <v>785</v>
      </c>
    </row>
    <row r="35" customFormat="false" ht="15" hidden="false" customHeight="false" outlineLevel="0" collapsed="false">
      <c r="A35" s="4" t="s">
        <v>150</v>
      </c>
      <c r="B35" s="8" t="s">
        <v>785</v>
      </c>
      <c r="C35" s="4" t="s">
        <v>192</v>
      </c>
      <c r="D35" s="30" t="s">
        <v>786</v>
      </c>
    </row>
    <row r="36" customFormat="false" ht="15" hidden="false" customHeight="false" outlineLevel="0" collapsed="false">
      <c r="A36" s="4" t="s">
        <v>156</v>
      </c>
      <c r="B36" s="30" t="s">
        <v>786</v>
      </c>
      <c r="C36" s="4" t="s">
        <v>194</v>
      </c>
      <c r="D36" s="8" t="s">
        <v>785</v>
      </c>
    </row>
    <row r="37" customFormat="false" ht="15" hidden="false" customHeight="false" outlineLevel="0" collapsed="false">
      <c r="A37" s="4" t="s">
        <v>157</v>
      </c>
      <c r="B37" s="8" t="s">
        <v>785</v>
      </c>
      <c r="C37" s="4" t="s">
        <v>203</v>
      </c>
      <c r="D37" s="8" t="s">
        <v>785</v>
      </c>
    </row>
    <row r="38" customFormat="false" ht="15" hidden="false" customHeight="false" outlineLevel="0" collapsed="false">
      <c r="A38" s="4" t="s">
        <v>161</v>
      </c>
      <c r="B38" s="8" t="s">
        <v>785</v>
      </c>
      <c r="C38" s="4" t="s">
        <v>204</v>
      </c>
      <c r="D38" s="8" t="s">
        <v>785</v>
      </c>
    </row>
    <row r="39" customFormat="false" ht="15" hidden="false" customHeight="false" outlineLevel="0" collapsed="false">
      <c r="A39" s="4" t="s">
        <v>164</v>
      </c>
      <c r="B39" s="8" t="s">
        <v>785</v>
      </c>
      <c r="C39" s="4" t="s">
        <v>207</v>
      </c>
      <c r="D39" s="30" t="s">
        <v>786</v>
      </c>
    </row>
    <row r="40" customFormat="false" ht="15" hidden="false" customHeight="false" outlineLevel="0" collapsed="false">
      <c r="A40" s="4" t="s">
        <v>173</v>
      </c>
      <c r="B40" s="30" t="s">
        <v>786</v>
      </c>
      <c r="C40" s="4" t="s">
        <v>210</v>
      </c>
      <c r="D40" s="8" t="s">
        <v>785</v>
      </c>
    </row>
    <row r="41" customFormat="false" ht="15" hidden="false" customHeight="false" outlineLevel="0" collapsed="false">
      <c r="A41" s="4" t="s">
        <v>174</v>
      </c>
      <c r="B41" s="8" t="s">
        <v>785</v>
      </c>
      <c r="C41" s="4" t="s">
        <v>220</v>
      </c>
      <c r="D41" s="8" t="s">
        <v>785</v>
      </c>
    </row>
    <row r="42" customFormat="false" ht="15" hidden="false" customHeight="false" outlineLevel="0" collapsed="false">
      <c r="A42" s="4" t="s">
        <v>175</v>
      </c>
      <c r="B42" s="8" t="s">
        <v>785</v>
      </c>
      <c r="C42" s="4" t="s">
        <v>221</v>
      </c>
      <c r="D42" s="8" t="s">
        <v>785</v>
      </c>
    </row>
    <row r="43" customFormat="false" ht="15" hidden="false" customHeight="false" outlineLevel="0" collapsed="false">
      <c r="A43" s="4" t="s">
        <v>177</v>
      </c>
      <c r="B43" s="8" t="s">
        <v>785</v>
      </c>
      <c r="C43" s="4" t="s">
        <v>222</v>
      </c>
      <c r="D43" s="8" t="s">
        <v>785</v>
      </c>
    </row>
    <row r="44" customFormat="false" ht="15" hidden="false" customHeight="false" outlineLevel="0" collapsed="false">
      <c r="A44" s="2" t="s">
        <v>787</v>
      </c>
    </row>
    <row r="46" customFormat="false" ht="15" hidden="false" customHeight="false" outlineLevel="0" collapsed="false">
      <c r="A46" s="6" t="s">
        <v>788</v>
      </c>
    </row>
    <row r="47" customFormat="false" ht="15" hidden="false" customHeight="false" outlineLevel="0" collapsed="false">
      <c r="A47" s="3" t="s">
        <v>789</v>
      </c>
      <c r="B47" s="3" t="s">
        <v>790</v>
      </c>
      <c r="C47" s="3" t="s">
        <v>791</v>
      </c>
    </row>
    <row r="48" customFormat="false" ht="15" hidden="false" customHeight="false" outlineLevel="0" collapsed="false">
      <c r="A48" s="4" t="s">
        <v>792</v>
      </c>
      <c r="B48" s="4" t="n">
        <v>0</v>
      </c>
      <c r="C48" s="4" t="n">
        <v>0</v>
      </c>
    </row>
    <row r="49" customFormat="false" ht="15" hidden="false" customHeight="false" outlineLevel="0" collapsed="false">
      <c r="A49" s="4" t="s">
        <v>793</v>
      </c>
      <c r="B49" s="4" t="n">
        <v>2</v>
      </c>
      <c r="C49" s="4" t="n">
        <v>3</v>
      </c>
    </row>
    <row r="50" customFormat="false" ht="15" hidden="false" customHeight="false" outlineLevel="0" collapsed="false">
      <c r="A50" s="4" t="s">
        <v>794</v>
      </c>
      <c r="B50" s="4" t="n">
        <v>6</v>
      </c>
      <c r="C50" s="4" t="n">
        <v>8</v>
      </c>
    </row>
    <row r="51" customFormat="false" ht="15" hidden="false" customHeight="false" outlineLevel="0" collapsed="false">
      <c r="A51" s="4" t="s">
        <v>795</v>
      </c>
      <c r="B51" s="4" t="n">
        <v>0</v>
      </c>
      <c r="C51" s="4" t="n">
        <v>7</v>
      </c>
    </row>
    <row r="52" customFormat="false" ht="15" hidden="false" customHeight="false" outlineLevel="0" collapsed="false">
      <c r="A52" s="4" t="s">
        <v>796</v>
      </c>
      <c r="B52" s="4" t="n">
        <v>0</v>
      </c>
      <c r="C52" s="4" t="n">
        <v>0</v>
      </c>
    </row>
    <row r="53" customFormat="false" ht="15" hidden="false" customHeight="false" outlineLevel="0" collapsed="false">
      <c r="A53" s="4" t="s">
        <v>797</v>
      </c>
      <c r="B53" s="4" t="n">
        <v>4</v>
      </c>
      <c r="C53" s="4" t="n">
        <v>0</v>
      </c>
    </row>
    <row r="54" customFormat="false" ht="15" hidden="false" customHeight="false" outlineLevel="0" collapsed="false">
      <c r="A54" s="4" t="s">
        <v>798</v>
      </c>
      <c r="B54" s="4" t="n">
        <v>2</v>
      </c>
      <c r="C54" s="4" t="n">
        <v>0</v>
      </c>
    </row>
    <row r="55" customFormat="false" ht="15" hidden="false" customHeight="false" outlineLevel="0" collapsed="false">
      <c r="A55" s="4" t="s">
        <v>799</v>
      </c>
      <c r="B55" s="4" t="n">
        <v>0</v>
      </c>
      <c r="C55" s="4" t="n">
        <v>10</v>
      </c>
    </row>
    <row r="56" customFormat="false" ht="15" hidden="false" customHeight="false" outlineLevel="0" collapsed="false">
      <c r="A56" s="4" t="s">
        <v>800</v>
      </c>
      <c r="B56" s="4" t="n">
        <v>6</v>
      </c>
      <c r="C56" s="4" t="n">
        <v>4</v>
      </c>
    </row>
    <row r="57" customFormat="false" ht="15" hidden="false" customHeight="false" outlineLevel="0" collapsed="false">
      <c r="A57" s="4" t="s">
        <v>801</v>
      </c>
      <c r="B57" s="4" t="n">
        <v>6</v>
      </c>
      <c r="C57" s="4" t="n">
        <v>0</v>
      </c>
    </row>
    <row r="58" customFormat="false" ht="15" hidden="false" customHeight="false" outlineLevel="0" collapsed="false">
      <c r="A58" s="4" t="s">
        <v>802</v>
      </c>
      <c r="B58" s="4" t="n">
        <v>2</v>
      </c>
      <c r="C58" s="4" t="n">
        <v>0</v>
      </c>
    </row>
    <row r="59" customFormat="false" ht="15" hidden="false" customHeight="false" outlineLevel="0" collapsed="false">
      <c r="A59" s="14" t="s">
        <v>803</v>
      </c>
      <c r="B59" s="14" t="n">
        <f aca="false">SUM(B48:B58)</f>
        <v>28</v>
      </c>
      <c r="C59" s="14" t="n">
        <f aca="false">SUM(C48:C58)</f>
        <v>32</v>
      </c>
    </row>
    <row r="60" customFormat="false" ht="15" hidden="false" customHeight="false" outlineLevel="0" collapsed="false">
      <c r="A60" s="2" t="s">
        <v>804</v>
      </c>
    </row>
    <row r="62" customFormat="false" ht="15" hidden="false" customHeight="false" outlineLevel="0" collapsed="false">
      <c r="A62" s="6" t="s">
        <v>805</v>
      </c>
    </row>
    <row r="63" customFormat="false" ht="15" hidden="false" customHeight="false" outlineLevel="0" collapsed="false">
      <c r="A63" s="3" t="s">
        <v>126</v>
      </c>
      <c r="B63" s="3" t="s">
        <v>80</v>
      </c>
      <c r="C63" s="3" t="s">
        <v>94</v>
      </c>
      <c r="D63" s="3" t="s">
        <v>76</v>
      </c>
      <c r="E63" s="3" t="s">
        <v>117</v>
      </c>
      <c r="F63" s="3" t="s">
        <v>90</v>
      </c>
    </row>
    <row r="64" customFormat="false" ht="31.5" hidden="false" customHeight="true" outlineLevel="0" collapsed="false">
      <c r="A64" s="4" t="s">
        <v>806</v>
      </c>
      <c r="B64" s="31" t="s">
        <v>807</v>
      </c>
      <c r="C64" s="31" t="s">
        <v>808</v>
      </c>
      <c r="D64" s="31" t="s">
        <v>809</v>
      </c>
      <c r="E64" s="32" t="s">
        <v>810</v>
      </c>
      <c r="F64" s="32" t="s">
        <v>811</v>
      </c>
    </row>
    <row r="65" customFormat="false" ht="31.5" hidden="false" customHeight="true" outlineLevel="0" collapsed="false">
      <c r="A65" s="4" t="s">
        <v>812</v>
      </c>
      <c r="B65" s="31" t="s">
        <v>808</v>
      </c>
      <c r="C65" s="31" t="s">
        <v>809</v>
      </c>
      <c r="D65" s="32" t="s">
        <v>810</v>
      </c>
      <c r="E65" s="32" t="s">
        <v>811</v>
      </c>
      <c r="F65" s="32" t="s">
        <v>813</v>
      </c>
    </row>
    <row r="66" customFormat="false" ht="31.5" hidden="false" customHeight="true" outlineLevel="0" collapsed="false">
      <c r="A66" s="4" t="s">
        <v>814</v>
      </c>
      <c r="B66" s="31" t="s">
        <v>809</v>
      </c>
      <c r="C66" s="32" t="s">
        <v>810</v>
      </c>
      <c r="D66" s="32" t="s">
        <v>811</v>
      </c>
      <c r="E66" s="32" t="s">
        <v>813</v>
      </c>
      <c r="F66" s="31" t="s">
        <v>807</v>
      </c>
    </row>
    <row r="67" customFormat="false" ht="31.5" hidden="false" customHeight="true" outlineLevel="0" collapsed="false">
      <c r="A67" s="4" t="s">
        <v>815</v>
      </c>
      <c r="B67" s="32" t="s">
        <v>810</v>
      </c>
      <c r="C67" s="32" t="s">
        <v>811</v>
      </c>
      <c r="D67" s="32" t="s">
        <v>813</v>
      </c>
      <c r="E67" s="31" t="s">
        <v>807</v>
      </c>
      <c r="F67" s="31" t="s">
        <v>808</v>
      </c>
    </row>
    <row r="68" customFormat="false" ht="31.5" hidden="false" customHeight="true" outlineLevel="0" collapsed="false">
      <c r="A68" s="4" t="s">
        <v>816</v>
      </c>
      <c r="B68" s="32" t="s">
        <v>811</v>
      </c>
      <c r="C68" s="32" t="s">
        <v>813</v>
      </c>
      <c r="D68" s="31" t="s">
        <v>807</v>
      </c>
      <c r="E68" s="31" t="s">
        <v>808</v>
      </c>
      <c r="F68" s="31" t="s">
        <v>809</v>
      </c>
    </row>
    <row r="69" customFormat="false" ht="31.5" hidden="false" customHeight="true" outlineLevel="0" collapsed="false">
      <c r="A69" s="4" t="s">
        <v>817</v>
      </c>
      <c r="B69" s="32" t="s">
        <v>813</v>
      </c>
      <c r="C69" s="31" t="s">
        <v>807</v>
      </c>
      <c r="D69" s="31" t="s">
        <v>808</v>
      </c>
      <c r="E69" s="31" t="s">
        <v>809</v>
      </c>
      <c r="F69" s="32" t="s">
        <v>810</v>
      </c>
    </row>
    <row r="70" customFormat="false" ht="31.5" hidden="false" customHeight="true" outlineLevel="0" collapsed="false">
      <c r="A70" s="4" t="s">
        <v>818</v>
      </c>
      <c r="B70" s="31" t="s">
        <v>807</v>
      </c>
      <c r="C70" s="31" t="s">
        <v>808</v>
      </c>
      <c r="D70" s="31" t="s">
        <v>809</v>
      </c>
      <c r="E70" s="32" t="s">
        <v>810</v>
      </c>
      <c r="F70" s="32" t="s">
        <v>811</v>
      </c>
    </row>
    <row r="71" customFormat="false" ht="15" hidden="false" customHeight="false" outlineLevel="0" collapsed="false">
      <c r="A71" s="2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820</v>
      </c>
    </row>
    <row r="3" customFormat="false" ht="26.85" hidden="false" customHeight="false" outlineLevel="0" collapsed="false">
      <c r="A3" s="3" t="s">
        <v>821</v>
      </c>
      <c r="B3" s="3" t="s">
        <v>822</v>
      </c>
      <c r="C3" s="3" t="s">
        <v>823</v>
      </c>
      <c r="D3" s="3" t="s">
        <v>824</v>
      </c>
      <c r="E3" s="3" t="s">
        <v>825</v>
      </c>
    </row>
    <row r="4" customFormat="false" ht="15" hidden="false" customHeight="false" outlineLevel="0" collapsed="false">
      <c r="A4" s="4" t="s">
        <v>826</v>
      </c>
      <c r="B4" s="5" t="n">
        <v>2</v>
      </c>
      <c r="C4" s="5" t="n">
        <v>2</v>
      </c>
      <c r="D4" s="4" t="n">
        <f aca="false">Calendário!$B$16</f>
        <v>246</v>
      </c>
      <c r="E4" s="4" t="n">
        <f aca="false">B4*C4*D4</f>
        <v>984</v>
      </c>
    </row>
    <row r="5" customFormat="false" ht="15" hidden="false" customHeight="false" outlineLevel="0" collapsed="false">
      <c r="A5" s="4" t="s">
        <v>827</v>
      </c>
      <c r="B5" s="5" t="n">
        <v>2</v>
      </c>
      <c r="C5" s="5" t="n">
        <v>2</v>
      </c>
      <c r="D5" s="4" t="n">
        <f aca="false">Calendário!$B$16</f>
        <v>246</v>
      </c>
      <c r="E5" s="4" t="n">
        <f aca="false">B5*C5*D5</f>
        <v>984</v>
      </c>
    </row>
    <row r="6" customFormat="false" ht="15" hidden="false" customHeight="false" outlineLevel="0" collapsed="false">
      <c r="A6" s="4" t="s">
        <v>828</v>
      </c>
      <c r="B6" s="5" t="n">
        <v>2</v>
      </c>
      <c r="C6" s="5" t="n">
        <v>2</v>
      </c>
      <c r="D6" s="4" t="n">
        <f aca="false">Calendário!$B$16</f>
        <v>246</v>
      </c>
      <c r="E6" s="4" t="n">
        <f aca="false">B6*C6*D6</f>
        <v>984</v>
      </c>
    </row>
    <row r="7" customFormat="false" ht="15" hidden="false" customHeight="false" outlineLevel="0" collapsed="false">
      <c r="A7" s="4" t="s">
        <v>829</v>
      </c>
      <c r="B7" s="5" t="n">
        <v>2</v>
      </c>
      <c r="C7" s="5" t="n">
        <v>2</v>
      </c>
      <c r="D7" s="4" t="n">
        <f aca="false">Calendário!$B$16</f>
        <v>246</v>
      </c>
      <c r="E7" s="4" t="n">
        <f aca="false">B7*C7*D7</f>
        <v>984</v>
      </c>
    </row>
    <row r="8" customFormat="false" ht="15" hidden="false" customHeight="false" outlineLevel="0" collapsed="false">
      <c r="A8" s="4" t="s">
        <v>830</v>
      </c>
      <c r="B8" s="5" t="n">
        <v>2</v>
      </c>
      <c r="C8" s="5" t="n">
        <v>2</v>
      </c>
      <c r="D8" s="4" t="n">
        <f aca="false">Calendário!$B$16</f>
        <v>246</v>
      </c>
      <c r="E8" s="4" t="n">
        <f aca="false">B8*C8*D8</f>
        <v>984</v>
      </c>
    </row>
    <row r="9" customFormat="false" ht="15" hidden="false" customHeight="false" outlineLevel="0" collapsed="false">
      <c r="A9" s="4" t="s">
        <v>137</v>
      </c>
      <c r="B9" s="5" t="n">
        <v>1</v>
      </c>
      <c r="C9" s="5" t="n">
        <v>2</v>
      </c>
      <c r="D9" s="4" t="n">
        <f aca="false">Calendário!$B$16</f>
        <v>246</v>
      </c>
      <c r="E9" s="4" t="n">
        <f aca="false">B9*C9*D9</f>
        <v>492</v>
      </c>
    </row>
    <row r="10" customFormat="false" ht="15" hidden="false" customHeight="false" outlineLevel="0" collapsed="false">
      <c r="A10" s="4" t="s">
        <v>831</v>
      </c>
      <c r="B10" s="5" t="n">
        <v>1</v>
      </c>
      <c r="C10" s="5" t="n">
        <v>2</v>
      </c>
      <c r="D10" s="4" t="n">
        <f aca="false">Calendário!$B$16</f>
        <v>246</v>
      </c>
      <c r="E10" s="4" t="n">
        <f aca="false">B10*C10*D10</f>
        <v>492</v>
      </c>
    </row>
    <row r="11" customFormat="false" ht="15" hidden="false" customHeight="false" outlineLevel="0" collapsed="false">
      <c r="A11" s="4" t="s">
        <v>832</v>
      </c>
      <c r="B11" s="5" t="n">
        <v>1</v>
      </c>
      <c r="C11" s="5" t="n">
        <v>2</v>
      </c>
      <c r="D11" s="4" t="n">
        <f aca="false">Calendário!$B$16</f>
        <v>246</v>
      </c>
      <c r="E11" s="4" t="n">
        <f aca="false">B11*C11*D11</f>
        <v>492</v>
      </c>
    </row>
    <row r="12" customFormat="false" ht="15" hidden="false" customHeight="false" outlineLevel="0" collapsed="false">
      <c r="A12" s="4" t="s">
        <v>833</v>
      </c>
      <c r="B12" s="5" t="n">
        <v>1</v>
      </c>
      <c r="C12" s="5" t="n">
        <v>2</v>
      </c>
      <c r="D12" s="4" t="n">
        <f aca="false">Calendário!$B$16</f>
        <v>246</v>
      </c>
      <c r="E12" s="4" t="n">
        <f aca="false">B12*C12*D12</f>
        <v>492</v>
      </c>
    </row>
    <row r="13" customFormat="false" ht="15" hidden="false" customHeight="false" outlineLevel="0" collapsed="false">
      <c r="A13" s="4" t="s">
        <v>834</v>
      </c>
      <c r="B13" s="5" t="n">
        <v>1</v>
      </c>
      <c r="C13" s="5" t="n">
        <v>2</v>
      </c>
      <c r="D13" s="4" t="n">
        <f aca="false">Calendário!$B$16</f>
        <v>246</v>
      </c>
      <c r="E13" s="4" t="n">
        <f aca="false">B13*C13*D13</f>
        <v>492</v>
      </c>
    </row>
    <row r="14" customFormat="false" ht="15" hidden="false" customHeight="false" outlineLevel="0" collapsed="false">
      <c r="A14" s="4" t="s">
        <v>835</v>
      </c>
      <c r="B14" s="5" t="n">
        <v>1</v>
      </c>
      <c r="C14" s="5" t="n">
        <v>2</v>
      </c>
      <c r="D14" s="4" t="n">
        <f aca="false">Calendário!$B$16</f>
        <v>246</v>
      </c>
      <c r="E14" s="4" t="n">
        <f aca="false">B14*C14*D14</f>
        <v>492</v>
      </c>
    </row>
    <row r="15" customFormat="false" ht="15" hidden="false" customHeight="false" outlineLevel="0" collapsed="false">
      <c r="A15" s="4" t="s">
        <v>836</v>
      </c>
      <c r="B15" s="5" t="n">
        <v>3</v>
      </c>
      <c r="C15" s="5" t="n">
        <v>2</v>
      </c>
      <c r="D15" s="5" t="n">
        <v>12</v>
      </c>
      <c r="E15" s="4" t="n">
        <f aca="false">B15*C15*D15</f>
        <v>72</v>
      </c>
    </row>
    <row r="16" customFormat="false" ht="15" hidden="false" customHeight="false" outlineLevel="0" collapsed="false">
      <c r="A16" s="14" t="s">
        <v>837</v>
      </c>
      <c r="E16" s="14" t="n">
        <f aca="false">SUM(E4:E15)</f>
        <v>7944</v>
      </c>
    </row>
    <row r="18" customFormat="false" ht="15" hidden="false" customHeight="false" outlineLevel="0" collapsed="false">
      <c r="A18" s="2" t="s">
        <v>838</v>
      </c>
    </row>
    <row r="19" customFormat="false" ht="15" hidden="false" customHeight="false" outlineLevel="0" collapsed="false">
      <c r="A19" s="2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2026-10-22T11:22:22Z</dcterms:created>
  <dc:creator>openpyxl</dc:creator>
  <dc:description/>
  <dc:language>en-US</dc:language>
  <cp:lastModifiedBy/>
  <dcterms:modified xsi:type="dcterms:W3CDTF">2026-10-22T11:22:22Z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