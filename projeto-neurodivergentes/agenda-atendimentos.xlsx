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_rels/sheet8.xml.rels" ContentType="application/vnd.openxmlformats-package.relationship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sumo" sheetId="1" state="visible" r:id="rId3"/>
    <sheet name="Comparativo" sheetId="2" state="visible" r:id="rId4"/>
    <sheet name="Calendário" sheetId="3" state="visible" r:id="rId5"/>
    <sheet name="Grade do dia" sheetId="4" state="visible" r:id="rId6"/>
    <sheet name="Blocos" sheetId="5" state="visible" r:id="rId7"/>
    <sheet name="Semanal 16 sessões" sheetId="6" state="visible" r:id="rId8"/>
    <sheet name="Médicos" sheetId="7" state="visible" r:id="rId9"/>
    <sheet name="Agenda médica" sheetId="8" state="visible" r:id="rId10"/>
    <sheet name="Serviços extras" sheetId="9" state="visible" r:id="rId11"/>
    <sheet name="Equipe e turnos" sheetId="10" state="visible" r:id="rId12"/>
  </sheets>
  <definedNames>
    <definedName function="false" hidden="true" localSheetId="7" name="_xlnm._FilterDatabase" vbProcedure="false">'Agenda médica'!$A$3:$F$579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<sst xmlns="http://schemas.openxmlformats.org/spreadsheetml/2006/main" count="5017" uniqueCount="937">
  <si>
    <t xml:space="preserve">Instituto Affectus – plano adotado: 16 sessões por mês, 1 visita de 2 h por semana</t>
  </si>
  <si>
    <t xml:space="preserve">Decisões da gestora em 22/10/2026: Opção 2 (16 sessões, 1 visita por semana) e Cenário 1 (300 crianças). Azul = premissa editável; o restante é calculado.</t>
  </si>
  <si>
    <t xml:space="preserve">Premissa</t>
  </si>
  <si>
    <t xml:space="preserve">Valor</t>
  </si>
  <si>
    <t xml:space="preserve">Observação</t>
  </si>
  <si>
    <t xml:space="preserve">Dias de atendimento por ano</t>
  </si>
  <si>
    <t xml:space="preserve">Ver aba Calendário</t>
  </si>
  <si>
    <t xml:space="preserve">Horário de funcionamento</t>
  </si>
  <si>
    <t xml:space="preserve">07h–19h</t>
  </si>
  <si>
    <t xml:space="preserve">Seg–sex; almoço 12h–13h</t>
  </si>
  <si>
    <t xml:space="preserve">Formato das sessões</t>
  </si>
  <si>
    <t xml:space="preserve">4 × 30 min</t>
  </si>
  <si>
    <t xml:space="preserve">Todas de 30 min, horários seguidos, 2 h por visita</t>
  </si>
  <si>
    <t xml:space="preserve">Sessões de terapia por criança a cada 4 semanas</t>
  </si>
  <si>
    <t xml:space="preserve">Decisão de 22/10/2026 (antes 24); xadrez, capoeira, oficinas, médicos e odontologia são extras</t>
  </si>
  <si>
    <t xml:space="preserve">Sessões por visita</t>
  </si>
  <si>
    <t xml:space="preserve">3 ou 4 especialidades; modelo usa 4</t>
  </si>
  <si>
    <t xml:space="preserve">Visitas por criança a cada 4 semanas</t>
  </si>
  <si>
    <t xml:space="preserve">1 visita por semana, sempre no mesmo dia, horário, bloco e sala</t>
  </si>
  <si>
    <t xml:space="preserve">Dias úteis por semana</t>
  </si>
  <si>
    <t xml:space="preserve">Cada bloco recebe 1 criança por dia da semana</t>
  </si>
  <si>
    <t xml:space="preserve">Blocos de visita por dia</t>
  </si>
  <si>
    <t xml:space="preserve">Comprovado por solver: 60 visitas/dia cabem com horários seguidos e vagas das salas</t>
  </si>
  <si>
    <t xml:space="preserve">Horas de terapia por criança a cada 4 semanas</t>
  </si>
  <si>
    <t xml:space="preserve">16 sessões × 30 min</t>
  </si>
  <si>
    <t xml:space="preserve">Cenários</t>
  </si>
  <si>
    <t xml:space="preserve">Indicador</t>
  </si>
  <si>
    <t xml:space="preserve">Cenário 1: 100% de ocupação (ADOTADO)</t>
  </si>
  <si>
    <t xml:space="preserve">Cenário 2: 90% (10% reposição), alternativa</t>
  </si>
  <si>
    <t xml:space="preserve">Blocos livres por dia (reposição)</t>
  </si>
  <si>
    <t xml:space="preserve">Visitas por dia</t>
  </si>
  <si>
    <t xml:space="preserve">Crianças com pacote completo</t>
  </si>
  <si>
    <t xml:space="preserve">Ocupação dos blocos</t>
  </si>
  <si>
    <t xml:space="preserve">Sessões de 30 min por dia</t>
  </si>
  <si>
    <t xml:space="preserve">Sessões de terapia por ano da clínica</t>
  </si>
  <si>
    <t xml:space="preserve">Sessões de terapia por criança por ano</t>
  </si>
  <si>
    <t xml:space="preserve">Crianças que consultam cada médico no 1º ano (192 por médico/ano)</t>
  </si>
  <si>
    <t xml:space="preserve">Horário da criança</t>
  </si>
  <si>
    <t xml:space="preserve">Fixo: mesmo dia, horário, sala e ordem</t>
  </si>
  <si>
    <t xml:space="preserve">Notas</t>
  </si>
  <si>
    <t xml:space="preserve">Cada bloco de 2 h recebe 1 criança por dia da semana (5 por semana); a criança volta sempre no mesmo dia, horário e sala. Grade nominal na aba Semanal 16 sessões.</t>
  </si>
  <si>
    <t xml:space="preserve">Cenário 1 adotado: as 300 vagas estão ocupadas e não há vaga reservada para reposição. A vaga de quem falta no dia pode repor outra criança do mesmo pacote. No Cenário 2 (270) as vagas C271–C300 ficariam livres.</t>
  </si>
  <si>
    <t xml:space="preserve">Teste de encaixe: 60 visitas por dia comprovadas pelo solver; mais de 62 não foram provadas nem descartadas. Tetos teóricos calculados antes da grade não foram obtidos na grade real.</t>
  </si>
  <si>
    <t xml:space="preserve">Pacotes-modelo (aba Grade do dia) são ilustrativos; a composição real depende da triagem. Todos têm pelo menos 2 entre Psicologia, TO e Fono.</t>
  </si>
  <si>
    <t xml:space="preserve">Feriado que cai no dia da semana de uma criança faz ela perder a visita daquela semana; usar as vagas livres para repor.</t>
  </si>
  <si>
    <t xml:space="preserve">Consulta médica (1 dia por mês por médico): com o rodízio da aba Médicos, todas as 300 crianças têm pelo menos 1 consulta no primeiro ano e o ciclo completo com os 3 médicos fecha em 20 meses.</t>
  </si>
  <si>
    <t xml:space="preserve">As opções avaliadas e descartadas (24 sessões a cada 2 semanas e 24 sessões semanais de 3 h) estão na aba Comparativo.</t>
  </si>
  <si>
    <t xml:space="preserve">Opções avaliadas (Opção 2 adotada em 22/10/2026)</t>
  </si>
  <si>
    <t xml:space="preserve">Azul = valor informado; preto = calculado. Só a Opção 2 (adotada) tem grade nominal; as outras são comparação de capacidade. Valores da Opção 1 informados manualmente.</t>
  </si>
  <si>
    <t xml:space="preserve">Opção 1: 24 sessões, 3 visitas a cada 2 semanas</t>
  </si>
  <si>
    <t xml:space="preserve">Opção 2 (ADOTADA): 16 sessões, 1 visita por semana</t>
  </si>
  <si>
    <t xml:space="preserve">Referência: 24 sessões, 1 visita por semana de 3 h</t>
  </si>
  <si>
    <t xml:space="preserve">Duração da visita (horas)</t>
  </si>
  <si>
    <t xml:space="preserve">Visitas por dia (blocos de visita)</t>
  </si>
  <si>
    <t xml:space="preserve">Crianças a 100% de ocupação</t>
  </si>
  <si>
    <t xml:space="preserve">Blocos livres por dia no cenário de 10% de reposição</t>
  </si>
  <si>
    <t xml:space="preserve">Crianças com 10% de reposição</t>
  </si>
  <si>
    <t xml:space="preserve">Crianças com horário totalmente fixo (100%)</t>
  </si>
  <si>
    <t xml:space="preserve">Sessões de terapia por ano da clínica (100%)</t>
  </si>
  <si>
    <t xml:space="preserve">Crianças com 1ª consulta de cada médico em 1 dia/mês (192 por médico/ano)</t>
  </si>
  <si>
    <t xml:space="preserve">Dias de consulta por mês, por médico, para atender todas as crianças</t>
  </si>
  <si>
    <t xml:space="preserve">As Opções 1 e 2 usam a mesma grade do dia (60 blocos); só muda quantas crianças passam por cada bloco.</t>
  </si>
  <si>
    <t xml:space="preserve">Opção 2 (adotada): cada bloco recebe 1 criança por dia da semana (5 por semana). Com 16 sessões por mês, cada criança tem 8 horas de terapia por mês, contra 12 horas nas outras opções.</t>
  </si>
  <si>
    <t xml:space="preserve">A clínica entrega o mesmo número de sessões por ano nas Opções 1 e 2; a diferença é atender mais crianças com menos sessões cada.</t>
  </si>
  <si>
    <t xml:space="preserve">Opção de referência (3 h por semana): 38 visitas por dia comprovadas na grade; 40 não foi concluído pelo solver. Sem grade nominal.</t>
  </si>
  <si>
    <t xml:space="preserve">Consultas médicas: o limite de 1 dia por mês por médico cobre bem a Opção 1, mas só cerca de 64% das crianças na Opção 2.</t>
  </si>
  <si>
    <t xml:space="preserve">Calendário de funcionamento – jul/2026 a jun/2027 (Aracaju/SE)</t>
  </si>
  <si>
    <t xml:space="preserve">Mês</t>
  </si>
  <si>
    <t xml:space="preserve">Dias de funcionamento</t>
  </si>
  <si>
    <t xml:space="preserve">Feriados descontados</t>
  </si>
  <si>
    <t xml:space="preserve">Dia da semana</t>
  </si>
  <si>
    <t xml:space="preserve">Ocorrências no período</t>
  </si>
  <si>
    <t xml:space="preserve">Feriados</t>
  </si>
  <si>
    <t xml:space="preserve">Visitas por criança</t>
  </si>
  <si>
    <t xml:space="preserve">Sessões por criança</t>
  </si>
  <si>
    <t xml:space="preserve">Jul/2026</t>
  </si>
  <si>
    <t xml:space="preserve">Data</t>
  </si>
  <si>
    <t xml:space="preserve">Dia</t>
  </si>
  <si>
    <t xml:space="preserve">Feriado</t>
  </si>
  <si>
    <t xml:space="preserve">Segunda</t>
  </si>
  <si>
    <t xml:space="preserve">Ago/2026</t>
  </si>
  <si>
    <t xml:space="preserve">08/07/2026</t>
  </si>
  <si>
    <t xml:space="preserve">Qua</t>
  </si>
  <si>
    <t xml:space="preserve">Emancipação Política de Sergipe (estadual)</t>
  </si>
  <si>
    <t xml:space="preserve">Terça</t>
  </si>
  <si>
    <t xml:space="preserve">Set/2026</t>
  </si>
  <si>
    <t xml:space="preserve">07/09/2026</t>
  </si>
  <si>
    <t xml:space="preserve">Seg</t>
  </si>
  <si>
    <t xml:space="preserve">Independência (nacional)</t>
  </si>
  <si>
    <t xml:space="preserve">Quarta</t>
  </si>
  <si>
    <t xml:space="preserve">Out/2026</t>
  </si>
  <si>
    <t xml:space="preserve">12/10/2026</t>
  </si>
  <si>
    <t xml:space="preserve">N. Sra. Aparecida (nacional)</t>
  </si>
  <si>
    <t xml:space="preserve">Quinta</t>
  </si>
  <si>
    <t xml:space="preserve">Nov/2026</t>
  </si>
  <si>
    <t xml:space="preserve">02/11/2026</t>
  </si>
  <si>
    <t xml:space="preserve">Finados (nacional)</t>
  </si>
  <si>
    <t xml:space="preserve">Sexta</t>
  </si>
  <si>
    <t xml:space="preserve">Dez/2026</t>
  </si>
  <si>
    <t xml:space="preserve">20/11/2026</t>
  </si>
  <si>
    <t xml:space="preserve">Sex</t>
  </si>
  <si>
    <t xml:space="preserve">Consciência Negra (nacional)</t>
  </si>
  <si>
    <t xml:space="preserve">Jan/2027</t>
  </si>
  <si>
    <t xml:space="preserve">08/12/2026</t>
  </si>
  <si>
    <t xml:space="preserve">Ter</t>
  </si>
  <si>
    <t xml:space="preserve">N. Sra. da Conceição (municipal Aracaju) – conferir decreto</t>
  </si>
  <si>
    <t xml:space="preserve">Como cada criança vem 1 vez por semana no mesmo dia, o número de feriados do seu dia reduz as visitas do ano. Inclui São João (24/06) e 8/12.</t>
  </si>
  <si>
    <t xml:space="preserve">Fev/2027</t>
  </si>
  <si>
    <t xml:space="preserve">25/12/2026</t>
  </si>
  <si>
    <t xml:space="preserve">Natal (nacional)</t>
  </si>
  <si>
    <t xml:space="preserve">Mar/2027</t>
  </si>
  <si>
    <t xml:space="preserve">01/01/2027</t>
  </si>
  <si>
    <t xml:space="preserve">Confraternização Universal (nacional)</t>
  </si>
  <si>
    <t xml:space="preserve">Abr/2027</t>
  </si>
  <si>
    <t xml:space="preserve">08/02/2027</t>
  </si>
  <si>
    <t xml:space="preserve">Carnaval (ponto facultativo)</t>
  </si>
  <si>
    <t xml:space="preserve">Mai/2027</t>
  </si>
  <si>
    <t xml:space="preserve">09/02/2027</t>
  </si>
  <si>
    <t xml:space="preserve">Jun/2027</t>
  </si>
  <si>
    <t xml:space="preserve">17/03/2027</t>
  </si>
  <si>
    <t xml:space="preserve">Aniversário de Aracaju (municipal)</t>
  </si>
  <si>
    <t xml:space="preserve">Total no ano</t>
  </si>
  <si>
    <t xml:space="preserve">26/03/2027</t>
  </si>
  <si>
    <t xml:space="preserve">Sexta-feira Santa (nacional)</t>
  </si>
  <si>
    <t xml:space="preserve">21/04/2027</t>
  </si>
  <si>
    <t xml:space="preserve">Tiradentes (nacional)</t>
  </si>
  <si>
    <t xml:space="preserve">Base: 261 dias úteis seg–sex no período, menos 15 feriados em dia útil. Itens marcados 'conferir decreto' dependem do decreto oficial da Prefeitura.</t>
  </si>
  <si>
    <t xml:space="preserve">27/05/2027</t>
  </si>
  <si>
    <t xml:space="preserve">Qui</t>
  </si>
  <si>
    <t xml:space="preserve">Corpus Christi (confirmado: sem atendimento)</t>
  </si>
  <si>
    <t xml:space="preserve">São João (24/06/2027) funciona? (S/N)</t>
  </si>
  <si>
    <t xml:space="preserve">N</t>
  </si>
  <si>
    <t xml:space="preserve">24/06/2027</t>
  </si>
  <si>
    <t xml:space="preserve">São João (municipal Aracaju) – EM ABERTO: ver célula B19</t>
  </si>
  <si>
    <t xml:space="preserve">Decisão em aberto: com 'N' o dia é descontado (246 dias); com 'S' o total passa para 247.</t>
  </si>
  <si>
    <t xml:space="preserve">Grade do dia (igual de segunda a sexta) – 60 blocos de visita</t>
  </si>
  <si>
    <t xml:space="preserve">Cada célula mostra o bloco (B01…B60) que ocupa aquela vaga naquele horário. Cor = pacote-modelo.</t>
  </si>
  <si>
    <t xml:space="preserve">Horário</t>
  </si>
  <si>
    <t xml:space="preserve">Psicologia
vaga 1</t>
  </si>
  <si>
    <t xml:space="preserve">Psicologia
vaga 2</t>
  </si>
  <si>
    <t xml:space="preserve">Terapia Ocupacional
vaga 1</t>
  </si>
  <si>
    <t xml:space="preserve">Terapia Ocupacional
vaga 2</t>
  </si>
  <si>
    <t xml:space="preserve">Fonoaudiologia
vaga 1</t>
  </si>
  <si>
    <t xml:space="preserve">Fonoaudiologia
vaga 2</t>
  </si>
  <si>
    <t xml:space="preserve">Psicopedagogia
vaga 1</t>
  </si>
  <si>
    <t xml:space="preserve">Psicopedagogia
vaga 2</t>
  </si>
  <si>
    <t xml:space="preserve">Psicomotricidade
vaga 1</t>
  </si>
  <si>
    <t xml:space="preserve">Psicomotricidade
vaga 2</t>
  </si>
  <si>
    <t xml:space="preserve">Musicoterapia</t>
  </si>
  <si>
    <t xml:space="preserve">Terapia alimentar
vaga 1</t>
  </si>
  <si>
    <t xml:space="preserve">Terapia alimentar
vaga 2</t>
  </si>
  <si>
    <t xml:space="preserve">07:00–07:30</t>
  </si>
  <si>
    <t xml:space="preserve">B01</t>
  </si>
  <si>
    <t xml:space="preserve">B04</t>
  </si>
  <si>
    <t xml:space="preserve">B02</t>
  </si>
  <si>
    <t xml:space="preserve">B05</t>
  </si>
  <si>
    <t xml:space="preserve">B06</t>
  </si>
  <si>
    <t xml:space="preserve">B03</t>
  </si>
  <si>
    <t xml:space="preserve">07:30–08:00</t>
  </si>
  <si>
    <t xml:space="preserve">B08</t>
  </si>
  <si>
    <t xml:space="preserve">B07</t>
  </si>
  <si>
    <t xml:space="preserve">08:00–08:30</t>
  </si>
  <si>
    <t xml:space="preserve">B09</t>
  </si>
  <si>
    <t xml:space="preserve">B10</t>
  </si>
  <si>
    <t xml:space="preserve">B12</t>
  </si>
  <si>
    <t xml:space="preserve">B13</t>
  </si>
  <si>
    <t xml:space="preserve">B11</t>
  </si>
  <si>
    <t xml:space="preserve">08:30–09:00</t>
  </si>
  <si>
    <t xml:space="preserve">09:00–09:30</t>
  </si>
  <si>
    <t xml:space="preserve">B15</t>
  </si>
  <si>
    <t xml:space="preserve">B14</t>
  </si>
  <si>
    <t xml:space="preserve">B16</t>
  </si>
  <si>
    <t xml:space="preserve">09:30–10:00</t>
  </si>
  <si>
    <t xml:space="preserve">B18</t>
  </si>
  <si>
    <t xml:space="preserve">B17</t>
  </si>
  <si>
    <t xml:space="preserve">10:00–10:30</t>
  </si>
  <si>
    <t xml:space="preserve">B21</t>
  </si>
  <si>
    <t xml:space="preserve">B24</t>
  </si>
  <si>
    <t xml:space="preserve">B23</t>
  </si>
  <si>
    <t xml:space="preserve">B22</t>
  </si>
  <si>
    <t xml:space="preserve">B19</t>
  </si>
  <si>
    <t xml:space="preserve">B20</t>
  </si>
  <si>
    <t xml:space="preserve">B26</t>
  </si>
  <si>
    <t xml:space="preserve">B25</t>
  </si>
  <si>
    <t xml:space="preserve">10:30–11:00</t>
  </si>
  <si>
    <t xml:space="preserve">11:00–11:30</t>
  </si>
  <si>
    <t xml:space="preserve">11:30–12:00</t>
  </si>
  <si>
    <t xml:space="preserve">Almoço</t>
  </si>
  <si>
    <t xml:space="preserve">13:00–13:30</t>
  </si>
  <si>
    <t xml:space="preserve">B31</t>
  </si>
  <si>
    <t xml:space="preserve">B33</t>
  </si>
  <si>
    <t xml:space="preserve">B27</t>
  </si>
  <si>
    <t xml:space="preserve">B28</t>
  </si>
  <si>
    <t xml:space="preserve">B29</t>
  </si>
  <si>
    <t xml:space="preserve">B34</t>
  </si>
  <si>
    <t xml:space="preserve">B30</t>
  </si>
  <si>
    <t xml:space="preserve">B32</t>
  </si>
  <si>
    <t xml:space="preserve">13:30–14:00</t>
  </si>
  <si>
    <t xml:space="preserve">B35</t>
  </si>
  <si>
    <t xml:space="preserve">14:00–14:30</t>
  </si>
  <si>
    <t xml:space="preserve">B37</t>
  </si>
  <si>
    <t xml:space="preserve">B36</t>
  </si>
  <si>
    <t xml:space="preserve">B38</t>
  </si>
  <si>
    <t xml:space="preserve">14:30–15:00</t>
  </si>
  <si>
    <t xml:space="preserve">B39</t>
  </si>
  <si>
    <t xml:space="preserve">15:00–15:30</t>
  </si>
  <si>
    <t xml:space="preserve">B40</t>
  </si>
  <si>
    <t xml:space="preserve">B46</t>
  </si>
  <si>
    <t xml:space="preserve">B43</t>
  </si>
  <si>
    <t xml:space="preserve">B47</t>
  </si>
  <si>
    <t xml:space="preserve">B41</t>
  </si>
  <si>
    <t xml:space="preserve">B45</t>
  </si>
  <si>
    <t xml:space="preserve">B44</t>
  </si>
  <si>
    <t xml:space="preserve">B42</t>
  </si>
  <si>
    <t xml:space="preserve">15:30–16:00</t>
  </si>
  <si>
    <t xml:space="preserve">16:00–16:30</t>
  </si>
  <si>
    <t xml:space="preserve">B49</t>
  </si>
  <si>
    <t xml:space="preserve">B48</t>
  </si>
  <si>
    <t xml:space="preserve">16:30–17:00</t>
  </si>
  <si>
    <t xml:space="preserve">B51</t>
  </si>
  <si>
    <t xml:space="preserve">B50</t>
  </si>
  <si>
    <t xml:space="preserve">17:00–17:30</t>
  </si>
  <si>
    <t xml:space="preserve">B56</t>
  </si>
  <si>
    <t xml:space="preserve">B52</t>
  </si>
  <si>
    <t xml:space="preserve">B58</t>
  </si>
  <si>
    <t xml:space="preserve">B54</t>
  </si>
  <si>
    <t xml:space="preserve">B57</t>
  </si>
  <si>
    <t xml:space="preserve">B59</t>
  </si>
  <si>
    <t xml:space="preserve">B55</t>
  </si>
  <si>
    <t xml:space="preserve">B53</t>
  </si>
  <si>
    <t xml:space="preserve">B60</t>
  </si>
  <si>
    <t xml:space="preserve">17:30–18:00</t>
  </si>
  <si>
    <t xml:space="preserve">18:00–18:30</t>
  </si>
  <si>
    <t xml:space="preserve">18:30–19:00</t>
  </si>
  <si>
    <t xml:space="preserve">Pacotes-modelo</t>
  </si>
  <si>
    <t xml:space="preserve">Pacote 1</t>
  </si>
  <si>
    <t xml:space="preserve">Psicologia, Terapia Ocupacional, Psicopedagogia, Psicomotricidade</t>
  </si>
  <si>
    <t xml:space="preserve">12 blocos/dia</t>
  </si>
  <si>
    <t xml:space="preserve">Pacote 2</t>
  </si>
  <si>
    <t xml:space="preserve">Psicologia, Fonoaudiologia, Psicopedagogia, Terapia alimentar</t>
  </si>
  <si>
    <t xml:space="preserve">Pacote 3</t>
  </si>
  <si>
    <t xml:space="preserve">Terapia Ocupacional, Fonoaudiologia, Psicopedagogia, Musicoterapia</t>
  </si>
  <si>
    <t xml:space="preserve">9 blocos/dia</t>
  </si>
  <si>
    <t xml:space="preserve">Pacote 4</t>
  </si>
  <si>
    <t xml:space="preserve">Psicologia, Terapia Ocupacional, Psicomotricidade, Terapia alimentar</t>
  </si>
  <si>
    <t xml:space="preserve">Pacote 5</t>
  </si>
  <si>
    <t xml:space="preserve">Psicologia, Fonoaudiologia, Psicomotricidade, Musicoterapia</t>
  </si>
  <si>
    <t xml:space="preserve">Pacote 6</t>
  </si>
  <si>
    <t xml:space="preserve">Terapia Ocupacional, Fonoaudiologia, Psicomotricidade, Terapia alimentar</t>
  </si>
  <si>
    <t xml:space="preserve">Blocos de visita: horários e salas</t>
  </si>
  <si>
    <t xml:space="preserve">Bloco</t>
  </si>
  <si>
    <t xml:space="preserve">Pacote</t>
  </si>
  <si>
    <t xml:space="preserve">Início</t>
  </si>
  <si>
    <t xml:space="preserve">Fim</t>
  </si>
  <si>
    <t xml:space="preserve">1ª sessão</t>
  </si>
  <si>
    <t xml:space="preserve">2ª sessão</t>
  </si>
  <si>
    <t xml:space="preserve">3ª sessão</t>
  </si>
  <si>
    <t xml:space="preserve">4ª sessão</t>
  </si>
  <si>
    <t xml:space="preserve">07:00</t>
  </si>
  <si>
    <t xml:space="preserve">09:00</t>
  </si>
  <si>
    <t xml:space="preserve">07:00 Psicologia</t>
  </si>
  <si>
    <t xml:space="preserve">07:30 Terapia alimentar</t>
  </si>
  <si>
    <t xml:space="preserve">08:00 Psicopedagogia</t>
  </si>
  <si>
    <t xml:space="preserve">08:30 Fonoaudiologia</t>
  </si>
  <si>
    <t xml:space="preserve">07:00 Fonoaudiologia</t>
  </si>
  <si>
    <t xml:space="preserve">07:30 Psicologia</t>
  </si>
  <si>
    <t xml:space="preserve">08:00 Terapia alimentar</t>
  </si>
  <si>
    <t xml:space="preserve">08:30 Psicopedagogia</t>
  </si>
  <si>
    <t xml:space="preserve">07:00 Terapia alimentar</t>
  </si>
  <si>
    <t xml:space="preserve">07:30 Fonoaudiologia</t>
  </si>
  <si>
    <t xml:space="preserve">08:30 Psicologia</t>
  </si>
  <si>
    <t xml:space="preserve">07:00 Terapia Ocupacional</t>
  </si>
  <si>
    <t xml:space="preserve">08:00 Fonoaudiologia</t>
  </si>
  <si>
    <t xml:space="preserve">08:30 Psicomotricidade</t>
  </si>
  <si>
    <t xml:space="preserve">07:00 Psicomotricidade</t>
  </si>
  <si>
    <t xml:space="preserve">07:30 Terapia Ocupacional</t>
  </si>
  <si>
    <t xml:space="preserve">08:30 Terapia alimentar</t>
  </si>
  <si>
    <t xml:space="preserve">08:00 Terapia Ocupacional</t>
  </si>
  <si>
    <t xml:space="preserve">07:30</t>
  </si>
  <si>
    <t xml:space="preserve">09:30</t>
  </si>
  <si>
    <t xml:space="preserve">07:30 Musicoterapia</t>
  </si>
  <si>
    <t xml:space="preserve">09:00 Psicopedagogia</t>
  </si>
  <si>
    <t xml:space="preserve">09:00 Fonoaudiologia</t>
  </si>
  <si>
    <t xml:space="preserve">08:00</t>
  </si>
  <si>
    <t xml:space="preserve">10:00</t>
  </si>
  <si>
    <t xml:space="preserve">08:00 Psicologia</t>
  </si>
  <si>
    <t xml:space="preserve">08:30 Terapia Ocupacional</t>
  </si>
  <si>
    <t xml:space="preserve">09:00 Psicomotricidade</t>
  </si>
  <si>
    <t xml:space="preserve">09:30 Psicopedagogia</t>
  </si>
  <si>
    <t xml:space="preserve">09:00 Terapia Ocupacional</t>
  </si>
  <si>
    <t xml:space="preserve">09:30 Psicomotricidade</t>
  </si>
  <si>
    <t xml:space="preserve">08:00 Musicoterapia</t>
  </si>
  <si>
    <t xml:space="preserve">09:30 Fonoaudiologia</t>
  </si>
  <si>
    <t xml:space="preserve">08:00 Psicomotricidade</t>
  </si>
  <si>
    <t xml:space="preserve">08:30 Musicoterapia</t>
  </si>
  <si>
    <t xml:space="preserve">09:00 Psicologia</t>
  </si>
  <si>
    <t xml:space="preserve">09:30 Musicoterapia</t>
  </si>
  <si>
    <t xml:space="preserve">11:00</t>
  </si>
  <si>
    <t xml:space="preserve">09:30 Psicologia</t>
  </si>
  <si>
    <t xml:space="preserve">10:00 Psicopedagogia</t>
  </si>
  <si>
    <t xml:space="preserve">10:30 Psicomotricidade</t>
  </si>
  <si>
    <t xml:space="preserve">10:00 Musicoterapia</t>
  </si>
  <si>
    <t xml:space="preserve">10:30 Fonoaudiologia</t>
  </si>
  <si>
    <t xml:space="preserve">09:30 Terapia alimentar</t>
  </si>
  <si>
    <t xml:space="preserve">10:00 Terapia Ocupacional</t>
  </si>
  <si>
    <t xml:space="preserve">11:30</t>
  </si>
  <si>
    <t xml:space="preserve">10:00 Fonoaudiologia</t>
  </si>
  <si>
    <t xml:space="preserve">10:30 Psicopedagogia</t>
  </si>
  <si>
    <t xml:space="preserve">11:00 Psicologia</t>
  </si>
  <si>
    <t xml:space="preserve">10:00 Terapia alimentar</t>
  </si>
  <si>
    <t xml:space="preserve">10:30 Terapia Ocupacional</t>
  </si>
  <si>
    <t xml:space="preserve">11:00 Psicomotricidade</t>
  </si>
  <si>
    <t xml:space="preserve">12:00</t>
  </si>
  <si>
    <t xml:space="preserve">10:30 Psicologia</t>
  </si>
  <si>
    <t xml:space="preserve">11:00 Terapia Ocupacional</t>
  </si>
  <si>
    <t xml:space="preserve">11:30 Psicomotricidade</t>
  </si>
  <si>
    <t xml:space="preserve">10:00 Psicomotricidade</t>
  </si>
  <si>
    <t xml:space="preserve">11:30 Psicopedagogia</t>
  </si>
  <si>
    <t xml:space="preserve">10:00 Psicologia</t>
  </si>
  <si>
    <t xml:space="preserve">10:30 Terapia alimentar</t>
  </si>
  <si>
    <t xml:space="preserve">11:00 Fonoaudiologia</t>
  </si>
  <si>
    <t xml:space="preserve">11:00 Psicopedagogia</t>
  </si>
  <si>
    <t xml:space="preserve">11:30 Terapia alimentar</t>
  </si>
  <si>
    <t xml:space="preserve">11:00 Musicoterapia</t>
  </si>
  <si>
    <t xml:space="preserve">11:30 Fonoaudiologia</t>
  </si>
  <si>
    <t xml:space="preserve">11:30 Terapia Ocupacional</t>
  </si>
  <si>
    <t xml:space="preserve">11:30 Psicologia</t>
  </si>
  <si>
    <t xml:space="preserve">10:30 Musicoterapia</t>
  </si>
  <si>
    <t xml:space="preserve">13:00</t>
  </si>
  <si>
    <t xml:space="preserve">15:00</t>
  </si>
  <si>
    <t xml:space="preserve">13:00 Terapia Ocupacional</t>
  </si>
  <si>
    <t xml:space="preserve">13:30 Psicologia</t>
  </si>
  <si>
    <t xml:space="preserve">14:00 Psicomotricidade</t>
  </si>
  <si>
    <t xml:space="preserve">14:30 Psicopedagogia</t>
  </si>
  <si>
    <t xml:space="preserve">13:30 Psicomotricidade</t>
  </si>
  <si>
    <t xml:space="preserve">14:00 Psicopedagogia</t>
  </si>
  <si>
    <t xml:space="preserve">14:30 Psicologia</t>
  </si>
  <si>
    <t xml:space="preserve">13:00 Psicopedagogia</t>
  </si>
  <si>
    <t xml:space="preserve">13:30 Fonoaudiologia</t>
  </si>
  <si>
    <t xml:space="preserve">14:00 Musicoterapia</t>
  </si>
  <si>
    <t xml:space="preserve">14:30 Terapia Ocupacional</t>
  </si>
  <si>
    <t xml:space="preserve">13:00 Musicoterapia</t>
  </si>
  <si>
    <t xml:space="preserve">13:30 Psicopedagogia</t>
  </si>
  <si>
    <t xml:space="preserve">14:00 Terapia Ocupacional</t>
  </si>
  <si>
    <t xml:space="preserve">14:30 Fonoaudiologia</t>
  </si>
  <si>
    <t xml:space="preserve">13:00 Psicologia</t>
  </si>
  <si>
    <t xml:space="preserve">14:30 Terapia alimentar</t>
  </si>
  <si>
    <t xml:space="preserve">13:00 Terapia alimentar</t>
  </si>
  <si>
    <t xml:space="preserve">13:30 Terapia Ocupacional</t>
  </si>
  <si>
    <t xml:space="preserve">14:00 Psicologia</t>
  </si>
  <si>
    <t xml:space="preserve">14:30 Psicomotricidade</t>
  </si>
  <si>
    <t xml:space="preserve">14:00 Terapia alimentar</t>
  </si>
  <si>
    <t xml:space="preserve">13:00 Psicomotricidade</t>
  </si>
  <si>
    <t xml:space="preserve">14:00 Fonoaudiologia</t>
  </si>
  <si>
    <t xml:space="preserve">14:30 Musicoterapia</t>
  </si>
  <si>
    <t xml:space="preserve">13:30</t>
  </si>
  <si>
    <t xml:space="preserve">15:30</t>
  </si>
  <si>
    <t xml:space="preserve">15:00 Psicologia</t>
  </si>
  <si>
    <t xml:space="preserve">14:00</t>
  </si>
  <si>
    <t xml:space="preserve">16:00</t>
  </si>
  <si>
    <t xml:space="preserve">15:00 Psicomotricidade</t>
  </si>
  <si>
    <t xml:space="preserve">15:30 Psicologia</t>
  </si>
  <si>
    <t xml:space="preserve">15:00 Terapia Ocupacional</t>
  </si>
  <si>
    <t xml:space="preserve">15:30 Psicomotricidade</t>
  </si>
  <si>
    <t xml:space="preserve">15:00 Terapia alimentar</t>
  </si>
  <si>
    <t xml:space="preserve">15:30 Terapia Ocupacional</t>
  </si>
  <si>
    <t xml:space="preserve">14:30</t>
  </si>
  <si>
    <t xml:space="preserve">16:30</t>
  </si>
  <si>
    <t xml:space="preserve">15:00 Psicopedagogia</t>
  </si>
  <si>
    <t xml:space="preserve">15:30 Musicoterapia</t>
  </si>
  <si>
    <t xml:space="preserve">16:00 Terapia Ocupacional</t>
  </si>
  <si>
    <t xml:space="preserve">17:00</t>
  </si>
  <si>
    <t xml:space="preserve">15:30 Psicopedagogia</t>
  </si>
  <si>
    <t xml:space="preserve">16:00 Psicomotricidade</t>
  </si>
  <si>
    <t xml:space="preserve">16:30 Terapia Ocupacional</t>
  </si>
  <si>
    <t xml:space="preserve">16:00 Psicologia</t>
  </si>
  <si>
    <t xml:space="preserve">16:30 Psicomotricidade</t>
  </si>
  <si>
    <t xml:space="preserve">16:00 Fonoaudiologia</t>
  </si>
  <si>
    <t xml:space="preserve">16:30 Psicopedagogia</t>
  </si>
  <si>
    <t xml:space="preserve">15:00 Fonoaudiologia</t>
  </si>
  <si>
    <t xml:space="preserve">16:30 Musicoterapia</t>
  </si>
  <si>
    <t xml:space="preserve">15:00 Musicoterapia</t>
  </si>
  <si>
    <t xml:space="preserve">16:30 Fonoaudiologia</t>
  </si>
  <si>
    <t xml:space="preserve">15:30 Fonoaudiologia</t>
  </si>
  <si>
    <t xml:space="preserve">16:00 Musicoterapia</t>
  </si>
  <si>
    <t xml:space="preserve">16:30 Psicologia</t>
  </si>
  <si>
    <t xml:space="preserve">16:00 Terapia alimentar</t>
  </si>
  <si>
    <t xml:space="preserve">15:30 Terapia alimentar</t>
  </si>
  <si>
    <t xml:space="preserve">18:00</t>
  </si>
  <si>
    <t xml:space="preserve">16:00 Psicopedagogia</t>
  </si>
  <si>
    <t xml:space="preserve">17:00 Terapia Ocupacional</t>
  </si>
  <si>
    <t xml:space="preserve">17:30 Psicomotricidade</t>
  </si>
  <si>
    <t xml:space="preserve">16:30 Terapia alimentar</t>
  </si>
  <si>
    <t xml:space="preserve">17:00 Psicologia</t>
  </si>
  <si>
    <t xml:space="preserve">17:30 Psicopedagogia</t>
  </si>
  <si>
    <t xml:space="preserve">18:30</t>
  </si>
  <si>
    <t xml:space="preserve">18:00 Psicologia</t>
  </si>
  <si>
    <t xml:space="preserve">17:00 Psicopedagogia</t>
  </si>
  <si>
    <t xml:space="preserve">17:30 Terapia alimentar</t>
  </si>
  <si>
    <t xml:space="preserve">19:00</t>
  </si>
  <si>
    <t xml:space="preserve">17:00 Fonoaudiologia</t>
  </si>
  <si>
    <t xml:space="preserve">18:00 Psicopedagogia</t>
  </si>
  <si>
    <t xml:space="preserve">18:30 Psicologia</t>
  </si>
  <si>
    <t xml:space="preserve">17:00 Terapia alimentar</t>
  </si>
  <si>
    <t xml:space="preserve">17:30 Psicologia</t>
  </si>
  <si>
    <t xml:space="preserve">18:00 Fonoaudiologia</t>
  </si>
  <si>
    <t xml:space="preserve">18:30 Psicopedagogia</t>
  </si>
  <si>
    <t xml:space="preserve">17:30 Musicoterapia</t>
  </si>
  <si>
    <t xml:space="preserve">18:00 Terapia Ocupacional</t>
  </si>
  <si>
    <t xml:space="preserve">18:30 Fonoaudiologia</t>
  </si>
  <si>
    <t xml:space="preserve">17:00 Musicoterapia</t>
  </si>
  <si>
    <t xml:space="preserve">18:30 Terapia Ocupacional</t>
  </si>
  <si>
    <t xml:space="preserve">17:30 Terapia Ocupacional</t>
  </si>
  <si>
    <t xml:space="preserve">18:00 Terapia alimentar</t>
  </si>
  <si>
    <t xml:space="preserve">18:30 Psicomotricidade</t>
  </si>
  <si>
    <t xml:space="preserve">17:00 Psicomotricidade</t>
  </si>
  <si>
    <t xml:space="preserve">17:30 Fonoaudiologia</t>
  </si>
  <si>
    <t xml:space="preserve">18:00 Musicoterapia</t>
  </si>
  <si>
    <t xml:space="preserve">18:00 Psicomotricidade</t>
  </si>
  <si>
    <t xml:space="preserve">18:30 Musicoterapia</t>
  </si>
  <si>
    <t xml:space="preserve">Plano adotado: 16 sessões por mês, 1 visita de 2 h por semana. Quem ocupa cada bloco em cada dia da semana</t>
  </si>
  <si>
    <t xml:space="preserve">Cada criança tem um dia da semana, um bloco e um horário fixos (sempre os mesmos). Células amarelas = as 30 vagas que ficam livres para reposição no cenário de 90% (270 crianças); no de 100% (300 crianças) elas são ocupadas por C271–C300.</t>
  </si>
  <si>
    <t xml:space="preserve">C001</t>
  </si>
  <si>
    <t xml:space="preserve">C002</t>
  </si>
  <si>
    <t xml:space="preserve">C003</t>
  </si>
  <si>
    <t xml:space="preserve">C004</t>
  </si>
  <si>
    <t xml:space="preserve">C005</t>
  </si>
  <si>
    <t xml:space="preserve">C006</t>
  </si>
  <si>
    <t xml:space="preserve">C007</t>
  </si>
  <si>
    <t xml:space="preserve">C008</t>
  </si>
  <si>
    <t xml:space="preserve">C009</t>
  </si>
  <si>
    <t xml:space="preserve">C010</t>
  </si>
  <si>
    <t xml:space="preserve">C271</t>
  </si>
  <si>
    <t xml:space="preserve">C011</t>
  </si>
  <si>
    <t xml:space="preserve">C012</t>
  </si>
  <si>
    <t xml:space="preserve">C013</t>
  </si>
  <si>
    <t xml:space="preserve">C014</t>
  </si>
  <si>
    <t xml:space="preserve">C015</t>
  </si>
  <si>
    <t xml:space="preserve">C016</t>
  </si>
  <si>
    <t xml:space="preserve">C017</t>
  </si>
  <si>
    <t xml:space="preserve">C018</t>
  </si>
  <si>
    <t xml:space="preserve">C019</t>
  </si>
  <si>
    <t xml:space="preserve">C020</t>
  </si>
  <si>
    <t xml:space="preserve">C021</t>
  </si>
  <si>
    <t xml:space="preserve">C272</t>
  </si>
  <si>
    <t xml:space="preserve">C022</t>
  </si>
  <si>
    <t xml:space="preserve">C023</t>
  </si>
  <si>
    <t xml:space="preserve">C024</t>
  </si>
  <si>
    <t xml:space="preserve">C025</t>
  </si>
  <si>
    <t xml:space="preserve">C026</t>
  </si>
  <si>
    <t xml:space="preserve">C027</t>
  </si>
  <si>
    <t xml:space="preserve">C028</t>
  </si>
  <si>
    <t xml:space="preserve">C029</t>
  </si>
  <si>
    <t xml:space="preserve">C030</t>
  </si>
  <si>
    <t xml:space="preserve">C031</t>
  </si>
  <si>
    <t xml:space="preserve">C273</t>
  </si>
  <si>
    <t xml:space="preserve">C032</t>
  </si>
  <si>
    <t xml:space="preserve">C033</t>
  </si>
  <si>
    <t xml:space="preserve">C034</t>
  </si>
  <si>
    <t xml:space="preserve">C035</t>
  </si>
  <si>
    <t xml:space="preserve">C274</t>
  </si>
  <si>
    <t xml:space="preserve">C036</t>
  </si>
  <si>
    <t xml:space="preserve">C037</t>
  </si>
  <si>
    <t xml:space="preserve">C038</t>
  </si>
  <si>
    <t xml:space="preserve">C039</t>
  </si>
  <si>
    <t xml:space="preserve">C040</t>
  </si>
  <si>
    <t xml:space="preserve">C041</t>
  </si>
  <si>
    <t xml:space="preserve">C275</t>
  </si>
  <si>
    <t xml:space="preserve">C042</t>
  </si>
  <si>
    <t xml:space="preserve">C043</t>
  </si>
  <si>
    <t xml:space="preserve">C044</t>
  </si>
  <si>
    <t xml:space="preserve">C045</t>
  </si>
  <si>
    <t xml:space="preserve">C046</t>
  </si>
  <si>
    <t xml:space="preserve">C047</t>
  </si>
  <si>
    <t xml:space="preserve">C048</t>
  </si>
  <si>
    <t xml:space="preserve">C049</t>
  </si>
  <si>
    <t xml:space="preserve">C050</t>
  </si>
  <si>
    <t xml:space="preserve">C051</t>
  </si>
  <si>
    <t xml:space="preserve">C052</t>
  </si>
  <si>
    <t xml:space="preserve">C276</t>
  </si>
  <si>
    <t xml:space="preserve">C053</t>
  </si>
  <si>
    <t xml:space="preserve">C054</t>
  </si>
  <si>
    <t xml:space="preserve">C055</t>
  </si>
  <si>
    <t xml:space="preserve">C056</t>
  </si>
  <si>
    <t xml:space="preserve">C057</t>
  </si>
  <si>
    <t xml:space="preserve">C058</t>
  </si>
  <si>
    <t xml:space="preserve">C059</t>
  </si>
  <si>
    <t xml:space="preserve">C060</t>
  </si>
  <si>
    <t xml:space="preserve">C061</t>
  </si>
  <si>
    <t xml:space="preserve">C062</t>
  </si>
  <si>
    <t xml:space="preserve">C063</t>
  </si>
  <si>
    <t xml:space="preserve">C064</t>
  </si>
  <si>
    <t xml:space="preserve">C065</t>
  </si>
  <si>
    <t xml:space="preserve">C066</t>
  </si>
  <si>
    <t xml:space="preserve">C067</t>
  </si>
  <si>
    <t xml:space="preserve">C277</t>
  </si>
  <si>
    <t xml:space="preserve">C068</t>
  </si>
  <si>
    <t xml:space="preserve">C069</t>
  </si>
  <si>
    <t xml:space="preserve">C070</t>
  </si>
  <si>
    <t xml:space="preserve">C071</t>
  </si>
  <si>
    <t xml:space="preserve">C072</t>
  </si>
  <si>
    <t xml:space="preserve">C073</t>
  </si>
  <si>
    <t xml:space="preserve">C074</t>
  </si>
  <si>
    <t xml:space="preserve">C075</t>
  </si>
  <si>
    <t xml:space="preserve">C076</t>
  </si>
  <si>
    <t xml:space="preserve">C077</t>
  </si>
  <si>
    <t xml:space="preserve">C078</t>
  </si>
  <si>
    <t xml:space="preserve">C079</t>
  </si>
  <si>
    <t xml:space="preserve">C080</t>
  </si>
  <si>
    <t xml:space="preserve">C081</t>
  </si>
  <si>
    <t xml:space="preserve">C082</t>
  </si>
  <si>
    <t xml:space="preserve">C083</t>
  </si>
  <si>
    <t xml:space="preserve">C084</t>
  </si>
  <si>
    <t xml:space="preserve">C278</t>
  </si>
  <si>
    <t xml:space="preserve">C085</t>
  </si>
  <si>
    <t xml:space="preserve">C086</t>
  </si>
  <si>
    <t xml:space="preserve">C087</t>
  </si>
  <si>
    <t xml:space="preserve">C088</t>
  </si>
  <si>
    <t xml:space="preserve">C089</t>
  </si>
  <si>
    <t xml:space="preserve">C090</t>
  </si>
  <si>
    <t xml:space="preserve">C091</t>
  </si>
  <si>
    <t xml:space="preserve">C092</t>
  </si>
  <si>
    <t xml:space="preserve">C093</t>
  </si>
  <si>
    <t xml:space="preserve">C279</t>
  </si>
  <si>
    <t xml:space="preserve">C094</t>
  </si>
  <si>
    <t xml:space="preserve">C095</t>
  </si>
  <si>
    <t xml:space="preserve">C096</t>
  </si>
  <si>
    <t xml:space="preserve">C097</t>
  </si>
  <si>
    <t xml:space="preserve">C098</t>
  </si>
  <si>
    <t xml:space="preserve">C099</t>
  </si>
  <si>
    <t xml:space="preserve">C100</t>
  </si>
  <si>
    <t xml:space="preserve">C101</t>
  </si>
  <si>
    <t xml:space="preserve">C102</t>
  </si>
  <si>
    <t xml:space="preserve">C103</t>
  </si>
  <si>
    <t xml:space="preserve">C104</t>
  </si>
  <si>
    <t xml:space="preserve">C105</t>
  </si>
  <si>
    <t xml:space="preserve">C280</t>
  </si>
  <si>
    <t xml:space="preserve">C106</t>
  </si>
  <si>
    <t xml:space="preserve">C107</t>
  </si>
  <si>
    <t xml:space="preserve">C108</t>
  </si>
  <si>
    <t xml:space="preserve">C281</t>
  </si>
  <si>
    <t xml:space="preserve">C109</t>
  </si>
  <si>
    <t xml:space="preserve">C110</t>
  </si>
  <si>
    <t xml:space="preserve">C111</t>
  </si>
  <si>
    <t xml:space="preserve">C112</t>
  </si>
  <si>
    <t xml:space="preserve">C113</t>
  </si>
  <si>
    <t xml:space="preserve">C114</t>
  </si>
  <si>
    <t xml:space="preserve">C115</t>
  </si>
  <si>
    <t xml:space="preserve">C116</t>
  </si>
  <si>
    <t xml:space="preserve">C117</t>
  </si>
  <si>
    <t xml:space="preserve">C118</t>
  </si>
  <si>
    <t xml:space="preserve">C119</t>
  </si>
  <si>
    <t xml:space="preserve">C120</t>
  </si>
  <si>
    <t xml:space="preserve">C121</t>
  </si>
  <si>
    <t xml:space="preserve">C282</t>
  </si>
  <si>
    <t xml:space="preserve">C122</t>
  </si>
  <si>
    <t xml:space="preserve">C123</t>
  </si>
  <si>
    <t xml:space="preserve">C124</t>
  </si>
  <si>
    <t xml:space="preserve">C125</t>
  </si>
  <si>
    <t xml:space="preserve">C126</t>
  </si>
  <si>
    <t xml:space="preserve">C127</t>
  </si>
  <si>
    <t xml:space="preserve">C128</t>
  </si>
  <si>
    <t xml:space="preserve">C283</t>
  </si>
  <si>
    <t xml:space="preserve">C129</t>
  </si>
  <si>
    <t xml:space="preserve">C130</t>
  </si>
  <si>
    <t xml:space="preserve">C131</t>
  </si>
  <si>
    <t xml:space="preserve">C132</t>
  </si>
  <si>
    <t xml:space="preserve">C133</t>
  </si>
  <si>
    <t xml:space="preserve">C134</t>
  </si>
  <si>
    <t xml:space="preserve">C135</t>
  </si>
  <si>
    <t xml:space="preserve">C136</t>
  </si>
  <si>
    <t xml:space="preserve">C137</t>
  </si>
  <si>
    <t xml:space="preserve">C138</t>
  </si>
  <si>
    <t xml:space="preserve">C139</t>
  </si>
  <si>
    <t xml:space="preserve">C140</t>
  </si>
  <si>
    <t xml:space="preserve">C141</t>
  </si>
  <si>
    <t xml:space="preserve">C284</t>
  </si>
  <si>
    <t xml:space="preserve">C285</t>
  </si>
  <si>
    <t xml:space="preserve">C142</t>
  </si>
  <si>
    <t xml:space="preserve">C143</t>
  </si>
  <si>
    <t xml:space="preserve">C144</t>
  </si>
  <si>
    <t xml:space="preserve">C145</t>
  </si>
  <si>
    <t xml:space="preserve">C146</t>
  </si>
  <si>
    <t xml:space="preserve">C147</t>
  </si>
  <si>
    <t xml:space="preserve">C148</t>
  </si>
  <si>
    <t xml:space="preserve">C149</t>
  </si>
  <si>
    <t xml:space="preserve">C150</t>
  </si>
  <si>
    <t xml:space="preserve">C151</t>
  </si>
  <si>
    <t xml:space="preserve">C152</t>
  </si>
  <si>
    <t xml:space="preserve">C153</t>
  </si>
  <si>
    <t xml:space="preserve">C154</t>
  </si>
  <si>
    <t xml:space="preserve">C286</t>
  </si>
  <si>
    <t xml:space="preserve">C155</t>
  </si>
  <si>
    <t xml:space="preserve">C156</t>
  </si>
  <si>
    <t xml:space="preserve">C287</t>
  </si>
  <si>
    <t xml:space="preserve">C157</t>
  </si>
  <si>
    <t xml:space="preserve">C158</t>
  </si>
  <si>
    <t xml:space="preserve">C159</t>
  </si>
  <si>
    <t xml:space="preserve">C160</t>
  </si>
  <si>
    <t xml:space="preserve">C161</t>
  </si>
  <si>
    <t xml:space="preserve">C288</t>
  </si>
  <si>
    <t xml:space="preserve">C162</t>
  </si>
  <si>
    <t xml:space="preserve">C163</t>
  </si>
  <si>
    <t xml:space="preserve">C289</t>
  </si>
  <si>
    <t xml:space="preserve">C164</t>
  </si>
  <si>
    <t xml:space="preserve">C165</t>
  </si>
  <si>
    <t xml:space="preserve">C166</t>
  </si>
  <si>
    <t xml:space="preserve">C167</t>
  </si>
  <si>
    <t xml:space="preserve">C168</t>
  </si>
  <si>
    <t xml:space="preserve">C169</t>
  </si>
  <si>
    <t xml:space="preserve">C170</t>
  </si>
  <si>
    <t xml:space="preserve">C171</t>
  </si>
  <si>
    <t xml:space="preserve">C172</t>
  </si>
  <si>
    <t xml:space="preserve">C290</t>
  </si>
  <si>
    <t xml:space="preserve">C173</t>
  </si>
  <si>
    <t xml:space="preserve">C174</t>
  </si>
  <si>
    <t xml:space="preserve">C175</t>
  </si>
  <si>
    <t xml:space="preserve">C176</t>
  </si>
  <si>
    <t xml:space="preserve">C177</t>
  </si>
  <si>
    <t xml:space="preserve">C178</t>
  </si>
  <si>
    <t xml:space="preserve">C179</t>
  </si>
  <si>
    <t xml:space="preserve">C180</t>
  </si>
  <si>
    <t xml:space="preserve">C181</t>
  </si>
  <si>
    <t xml:space="preserve">C182</t>
  </si>
  <si>
    <t xml:space="preserve">C183</t>
  </si>
  <si>
    <t xml:space="preserve">C184</t>
  </si>
  <si>
    <t xml:space="preserve">C291</t>
  </si>
  <si>
    <t xml:space="preserve">C185</t>
  </si>
  <si>
    <t xml:space="preserve">C186</t>
  </si>
  <si>
    <t xml:space="preserve">C187</t>
  </si>
  <si>
    <t xml:space="preserve">C188</t>
  </si>
  <si>
    <t xml:space="preserve">C189</t>
  </si>
  <si>
    <t xml:space="preserve">C190</t>
  </si>
  <si>
    <t xml:space="preserve">C191</t>
  </si>
  <si>
    <t xml:space="preserve">C192</t>
  </si>
  <si>
    <t xml:space="preserve">C193</t>
  </si>
  <si>
    <t xml:space="preserve">C194</t>
  </si>
  <si>
    <t xml:space="preserve">C292</t>
  </si>
  <si>
    <t xml:space="preserve">C195</t>
  </si>
  <si>
    <t xml:space="preserve">C196</t>
  </si>
  <si>
    <t xml:space="preserve">C197</t>
  </si>
  <si>
    <t xml:space="preserve">C198</t>
  </si>
  <si>
    <t xml:space="preserve">C199</t>
  </si>
  <si>
    <t xml:space="preserve">C200</t>
  </si>
  <si>
    <t xml:space="preserve">C201</t>
  </si>
  <si>
    <t xml:space="preserve">C202</t>
  </si>
  <si>
    <t xml:space="preserve">C203</t>
  </si>
  <si>
    <t xml:space="preserve">C204</t>
  </si>
  <si>
    <t xml:space="preserve">C205</t>
  </si>
  <si>
    <t xml:space="preserve">C206</t>
  </si>
  <si>
    <t xml:space="preserve">C207</t>
  </si>
  <si>
    <t xml:space="preserve">C293</t>
  </si>
  <si>
    <t xml:space="preserve">C294</t>
  </si>
  <si>
    <t xml:space="preserve">C208</t>
  </si>
  <si>
    <t xml:space="preserve">C209</t>
  </si>
  <si>
    <t xml:space="preserve">C210</t>
  </si>
  <si>
    <t xml:space="preserve">C211</t>
  </si>
  <si>
    <t xml:space="preserve">C212</t>
  </si>
  <si>
    <t xml:space="preserve">C213</t>
  </si>
  <si>
    <t xml:space="preserve">C214</t>
  </si>
  <si>
    <t xml:space="preserve">C215</t>
  </si>
  <si>
    <t xml:space="preserve">C216</t>
  </si>
  <si>
    <t xml:space="preserve">C217</t>
  </si>
  <si>
    <t xml:space="preserve">C218</t>
  </si>
  <si>
    <t xml:space="preserve">C219</t>
  </si>
  <si>
    <t xml:space="preserve">C295</t>
  </si>
  <si>
    <t xml:space="preserve">C220</t>
  </si>
  <si>
    <t xml:space="preserve">C221</t>
  </si>
  <si>
    <t xml:space="preserve">C222</t>
  </si>
  <si>
    <t xml:space="preserve">C223</t>
  </si>
  <si>
    <t xml:space="preserve">C224</t>
  </si>
  <si>
    <t xml:space="preserve">C225</t>
  </si>
  <si>
    <t xml:space="preserve">C226</t>
  </si>
  <si>
    <t xml:space="preserve">C227</t>
  </si>
  <si>
    <t xml:space="preserve">C228</t>
  </si>
  <si>
    <t xml:space="preserve">C229</t>
  </si>
  <si>
    <t xml:space="preserve">C230</t>
  </si>
  <si>
    <t xml:space="preserve">C231</t>
  </si>
  <si>
    <t xml:space="preserve">C232</t>
  </si>
  <si>
    <t xml:space="preserve">C233</t>
  </si>
  <si>
    <t xml:space="preserve">C234</t>
  </si>
  <si>
    <t xml:space="preserve">C296</t>
  </si>
  <si>
    <t xml:space="preserve">C235</t>
  </si>
  <si>
    <t xml:space="preserve">C236</t>
  </si>
  <si>
    <t xml:space="preserve">C237</t>
  </si>
  <si>
    <t xml:space="preserve">C238</t>
  </si>
  <si>
    <t xml:space="preserve">C239</t>
  </si>
  <si>
    <t xml:space="preserve">C240</t>
  </si>
  <si>
    <t xml:space="preserve">C241</t>
  </si>
  <si>
    <t xml:space="preserve">C297</t>
  </si>
  <si>
    <t xml:space="preserve">C242</t>
  </si>
  <si>
    <t xml:space="preserve">C243</t>
  </si>
  <si>
    <t xml:space="preserve">C244</t>
  </si>
  <si>
    <t xml:space="preserve">C245</t>
  </si>
  <si>
    <t xml:space="preserve">C246</t>
  </si>
  <si>
    <t xml:space="preserve">C247</t>
  </si>
  <si>
    <t xml:space="preserve">C248</t>
  </si>
  <si>
    <t xml:space="preserve">C249</t>
  </si>
  <si>
    <t xml:space="preserve">C250</t>
  </si>
  <si>
    <t xml:space="preserve">C298</t>
  </si>
  <si>
    <t xml:space="preserve">C251</t>
  </si>
  <si>
    <t xml:space="preserve">C252</t>
  </si>
  <si>
    <t xml:space="preserve">C253</t>
  </si>
  <si>
    <t xml:space="preserve">C299</t>
  </si>
  <si>
    <t xml:space="preserve">C254</t>
  </si>
  <si>
    <t xml:space="preserve">C255</t>
  </si>
  <si>
    <t xml:space="preserve">C256</t>
  </si>
  <si>
    <t xml:space="preserve">C257</t>
  </si>
  <si>
    <t xml:space="preserve">C258</t>
  </si>
  <si>
    <t xml:space="preserve">C259</t>
  </si>
  <si>
    <t xml:space="preserve">C260</t>
  </si>
  <si>
    <t xml:space="preserve">C261</t>
  </si>
  <si>
    <t xml:space="preserve">C262</t>
  </si>
  <si>
    <t xml:space="preserve">C263</t>
  </si>
  <si>
    <t xml:space="preserve">C264</t>
  </si>
  <si>
    <t xml:space="preserve">C265</t>
  </si>
  <si>
    <t xml:space="preserve">C266</t>
  </si>
  <si>
    <t xml:space="preserve">C267</t>
  </si>
  <si>
    <t xml:space="preserve">C300</t>
  </si>
  <si>
    <t xml:space="preserve">C268</t>
  </si>
  <si>
    <t xml:space="preserve">C269</t>
  </si>
  <si>
    <t xml:space="preserve">C270</t>
  </si>
  <si>
    <t xml:space="preserve">Atendimento médico: 1 dia por mês por médico, com rodízio dos dias da semana</t>
  </si>
  <si>
    <t xml:space="preserve">Disponibilidade dos médicos: 1 dia por mês cada (8h–12h e 13h–17h). Azul = premissa editável; resultados de distribuição vêm de simulação com a grade semanal.</t>
  </si>
  <si>
    <t xml:space="preserve">Duração da consulta (min)</t>
  </si>
  <si>
    <t xml:space="preserve">Consultas por dia médico</t>
  </si>
  <si>
    <t xml:space="preserve">Dias médicos por ano (3 médicos × 12 meses)</t>
  </si>
  <si>
    <t xml:space="preserve">Consultas por ano</t>
  </si>
  <si>
    <t xml:space="preserve">Crianças</t>
  </si>
  <si>
    <t xml:space="preserve">Consultas por criança por ano (média)</t>
  </si>
  <si>
    <t xml:space="preserve">Consultas para cada criança passar pelos 3 médicos</t>
  </si>
  <si>
    <t xml:space="preserve">Meses até todas passarem pelos 3 médicos (simulado)</t>
  </si>
  <si>
    <t xml:space="preserve">Resultado no primeiro ano (30 min)</t>
  </si>
  <si>
    <t xml:space="preserve">Consultas por criança</t>
  </si>
  <si>
    <t xml:space="preserve">% das crianças</t>
  </si>
  <si>
    <t xml:space="preserve">1 consulta(s), com médicos diferentes</t>
  </si>
  <si>
    <t xml:space="preserve">2 consulta(s), com médicos diferentes</t>
  </si>
  <si>
    <t xml:space="preserve">3 consulta(s), com médicos diferentes</t>
  </si>
  <si>
    <t xml:space="preserve">Crianças sem nenhuma consulta</t>
  </si>
  <si>
    <t xml:space="preserve">Se a consulta for mais curta (a conversar com os médicos)</t>
  </si>
  <si>
    <t xml:space="preserve">Duração (min)</t>
  </si>
  <si>
    <t xml:space="preserve">Dias médicos (modelo jul/2026 a jun/2027). O dia da semana de cada médico muda a cada mês.</t>
  </si>
  <si>
    <t xml:space="preserve">Neuropediatra</t>
  </si>
  <si>
    <t xml:space="preserve">Psiquiatra infantil</t>
  </si>
  <si>
    <t xml:space="preserve">Pediatra</t>
  </si>
  <si>
    <t xml:space="preserve">07/2026</t>
  </si>
  <si>
    <t xml:space="preserve">13/07 (seg)</t>
  </si>
  <si>
    <t xml:space="preserve">15/07 (qua)</t>
  </si>
  <si>
    <t xml:space="preserve">10/07 (sex)</t>
  </si>
  <si>
    <t xml:space="preserve">08/2026</t>
  </si>
  <si>
    <t xml:space="preserve">11/08 (ter)</t>
  </si>
  <si>
    <t xml:space="preserve">13/08 (qui)</t>
  </si>
  <si>
    <t xml:space="preserve">10/08 (seg)</t>
  </si>
  <si>
    <t xml:space="preserve">09/2026</t>
  </si>
  <si>
    <t xml:space="preserve">09/09 (qua)</t>
  </si>
  <si>
    <t xml:space="preserve">11/09 (sex)</t>
  </si>
  <si>
    <t xml:space="preserve">08/09 (ter)</t>
  </si>
  <si>
    <t xml:space="preserve">10/2026</t>
  </si>
  <si>
    <t xml:space="preserve">08/10 (qui)</t>
  </si>
  <si>
    <t xml:space="preserve">19/10 (seg)</t>
  </si>
  <si>
    <t xml:space="preserve">14/10 (qua)</t>
  </si>
  <si>
    <t xml:space="preserve">11/2026</t>
  </si>
  <si>
    <t xml:space="preserve">13/11 (sex)</t>
  </si>
  <si>
    <t xml:space="preserve">10/11 (ter)</t>
  </si>
  <si>
    <t xml:space="preserve">12/11 (qui)</t>
  </si>
  <si>
    <t xml:space="preserve">12/2026</t>
  </si>
  <si>
    <t xml:space="preserve">14/12 (seg)</t>
  </si>
  <si>
    <t xml:space="preserve">09/12 (qua)</t>
  </si>
  <si>
    <t xml:space="preserve">11/12 (sex)</t>
  </si>
  <si>
    <t xml:space="preserve">01/2027</t>
  </si>
  <si>
    <t xml:space="preserve">12/01 (ter)</t>
  </si>
  <si>
    <t xml:space="preserve">14/01 (qui)</t>
  </si>
  <si>
    <t xml:space="preserve">11/01 (seg)</t>
  </si>
  <si>
    <t xml:space="preserve">02/2027</t>
  </si>
  <si>
    <t xml:space="preserve">10/02 (qua)</t>
  </si>
  <si>
    <t xml:space="preserve">12/02 (sex)</t>
  </si>
  <si>
    <t xml:space="preserve">16/02 (ter)</t>
  </si>
  <si>
    <t xml:space="preserve">03/2027</t>
  </si>
  <si>
    <t xml:space="preserve">11/03 (qui)</t>
  </si>
  <si>
    <t xml:space="preserve">08/03 (seg)</t>
  </si>
  <si>
    <t xml:space="preserve">10/03 (qua)</t>
  </si>
  <si>
    <t xml:space="preserve">04/2027</t>
  </si>
  <si>
    <t xml:space="preserve">09/04 (sex)</t>
  </si>
  <si>
    <t xml:space="preserve">13/04 (ter)</t>
  </si>
  <si>
    <t xml:space="preserve">08/04 (qui)</t>
  </si>
  <si>
    <t xml:space="preserve">05/2027</t>
  </si>
  <si>
    <t xml:space="preserve">10/05 (seg)</t>
  </si>
  <si>
    <t xml:space="preserve">12/05 (qua)</t>
  </si>
  <si>
    <t xml:space="preserve">14/05 (sex)</t>
  </si>
  <si>
    <t xml:space="preserve">06/2027</t>
  </si>
  <si>
    <t xml:space="preserve">08/06 (ter)</t>
  </si>
  <si>
    <t xml:space="preserve">10/06 (qui)</t>
  </si>
  <si>
    <t xml:space="preserve">14/06 (seg)</t>
  </si>
  <si>
    <t xml:space="preserve">Como funciona</t>
  </si>
  <si>
    <t xml:space="preserve">O dia médico gira entre os dias da semana (cada médico muda de dia a cada mês), para que as crianças de segunda a sexta tenham acesso.</t>
  </si>
  <si>
    <t xml:space="preserve">Cada dia médico atende só crianças que já vêm naquele dia da semana: a consulta de 30 min é encaixada antes ou depois da visita de 2 h, sem deslocamento extra.</t>
  </si>
  <si>
    <t xml:space="preserve">Quem é chamado: crianças com menos consultas e que ainda não passaram por aquele médico; empate decide quem espera menos.</t>
  </si>
  <si>
    <t xml:space="preserve">Todas as 16 vagas de cada dia médico ficam preenchidas (576 consultas por ano). A lista dia a dia está na aba Agenda médica.</t>
  </si>
  <si>
    <t xml:space="preserve">Ampliar sem aumentar os dias dos médicos: consulta de 20 min leva o ciclo completo de 20 para 15 meses, e de 15 min para 10 meses. Também dá para priorizar por triagem quem precisa primeiro.</t>
  </si>
  <si>
    <t xml:space="preserve">Faltas no dia médico liberam vaga: manter uma lista de espera de crianças que já estão na clínica naquele dia.</t>
  </si>
  <si>
    <t xml:space="preserve">Agenda médica do ano-modelo: quem consulta em cada dia médico</t>
  </si>
  <si>
    <t xml:space="preserve">Médico</t>
  </si>
  <si>
    <t xml:space="preserve">Criança</t>
  </si>
  <si>
    <t xml:space="preserve">Visita da criança nesse dia</t>
  </si>
  <si>
    <t xml:space="preserve">10/07/2026</t>
  </si>
  <si>
    <t xml:space="preserve">sex</t>
  </si>
  <si>
    <t xml:space="preserve">09:00–11:00</t>
  </si>
  <si>
    <t xml:space="preserve">07:00–09:00</t>
  </si>
  <si>
    <t xml:space="preserve">10:00–12:00</t>
  </si>
  <si>
    <t xml:space="preserve">08:00–10:00</t>
  </si>
  <si>
    <t xml:space="preserve">09:30–11:30</t>
  </si>
  <si>
    <t xml:space="preserve">13:30–15:30</t>
  </si>
  <si>
    <t xml:space="preserve">14:00–16:00</t>
  </si>
  <si>
    <t xml:space="preserve">14:30–16:30</t>
  </si>
  <si>
    <t xml:space="preserve">15:00–17:00</t>
  </si>
  <si>
    <t xml:space="preserve">13:00–15:00</t>
  </si>
  <si>
    <t xml:space="preserve">16:00–18:00</t>
  </si>
  <si>
    <t xml:space="preserve">17:00–19:00</t>
  </si>
  <si>
    <t xml:space="preserve">13/07/2026</t>
  </si>
  <si>
    <t xml:space="preserve">seg</t>
  </si>
  <si>
    <t xml:space="preserve">15/07/2026</t>
  </si>
  <si>
    <t xml:space="preserve">qua</t>
  </si>
  <si>
    <t xml:space="preserve">07:30–09:30</t>
  </si>
  <si>
    <t xml:space="preserve">10/08/2026</t>
  </si>
  <si>
    <t xml:space="preserve">16:30–18:30</t>
  </si>
  <si>
    <t xml:space="preserve">11/08/2026</t>
  </si>
  <si>
    <t xml:space="preserve">ter</t>
  </si>
  <si>
    <t xml:space="preserve">13/08/2026</t>
  </si>
  <si>
    <t xml:space="preserve">qui</t>
  </si>
  <si>
    <t xml:space="preserve">08/09/2026</t>
  </si>
  <si>
    <t xml:space="preserve">09/09/2026</t>
  </si>
  <si>
    <t xml:space="preserve">11/09/2026</t>
  </si>
  <si>
    <t xml:space="preserve">08/10/2026</t>
  </si>
  <si>
    <t xml:space="preserve">14/10/2026</t>
  </si>
  <si>
    <t xml:space="preserve">19/10/2026</t>
  </si>
  <si>
    <t xml:space="preserve">10/11/2026</t>
  </si>
  <si>
    <t xml:space="preserve">12/11/2026</t>
  </si>
  <si>
    <t xml:space="preserve">13/11/2026</t>
  </si>
  <si>
    <t xml:space="preserve">09/12/2026</t>
  </si>
  <si>
    <t xml:space="preserve">11/12/2026</t>
  </si>
  <si>
    <t xml:space="preserve">14/12/2026</t>
  </si>
  <si>
    <t xml:space="preserve">11/01/2027</t>
  </si>
  <si>
    <t xml:space="preserve">12/01/2027</t>
  </si>
  <si>
    <t xml:space="preserve">14/01/2027</t>
  </si>
  <si>
    <t xml:space="preserve">10/02/2027</t>
  </si>
  <si>
    <t xml:space="preserve">12/02/2027</t>
  </si>
  <si>
    <t xml:space="preserve">16/02/2027</t>
  </si>
  <si>
    <t xml:space="preserve">08/03/2027</t>
  </si>
  <si>
    <t xml:space="preserve">10/03/2027</t>
  </si>
  <si>
    <t xml:space="preserve">11/03/2027</t>
  </si>
  <si>
    <t xml:space="preserve">08/04/2027</t>
  </si>
  <si>
    <t xml:space="preserve">09/04/2027</t>
  </si>
  <si>
    <t xml:space="preserve">13/04/2027</t>
  </si>
  <si>
    <t xml:space="preserve">10/05/2027</t>
  </si>
  <si>
    <t xml:space="preserve">12/05/2027</t>
  </si>
  <si>
    <t xml:space="preserve">14/05/2027</t>
  </si>
  <si>
    <t xml:space="preserve">08/06/2027</t>
  </si>
  <si>
    <t xml:space="preserve">10/06/2027</t>
  </si>
  <si>
    <t xml:space="preserve">14/06/2027</t>
  </si>
  <si>
    <t xml:space="preserve">Serviços extras e de apoio</t>
  </si>
  <si>
    <t xml:space="preserve">Atendimento médico: ver as abas Médicos e Agenda médica.</t>
  </si>
  <si>
    <t xml:space="preserve">Odontologia: 1 dentista por dia, consultas de 40 min = 16 vagas/dia (7 de manhã, 9 à tarde)</t>
  </si>
  <si>
    <t xml:space="preserve">Manhã</t>
  </si>
  <si>
    <t xml:space="preserve">Tarde</t>
  </si>
  <si>
    <t xml:space="preserve">07:00–07:40</t>
  </si>
  <si>
    <t xml:space="preserve">13:00–13:40</t>
  </si>
  <si>
    <t xml:space="preserve">07:40–08:20</t>
  </si>
  <si>
    <t xml:space="preserve">13:40–14:20</t>
  </si>
  <si>
    <t xml:space="preserve">08:20–09:00</t>
  </si>
  <si>
    <t xml:space="preserve">14:20–15:00</t>
  </si>
  <si>
    <t xml:space="preserve">09:00–09:40</t>
  </si>
  <si>
    <t xml:space="preserve">15:00–15:40</t>
  </si>
  <si>
    <t xml:space="preserve">09:40–10:20</t>
  </si>
  <si>
    <t xml:space="preserve">15:40–16:20</t>
  </si>
  <si>
    <t xml:space="preserve">10:20–11:00</t>
  </si>
  <si>
    <t xml:space="preserve">16:20–17:00</t>
  </si>
  <si>
    <t xml:space="preserve">11:00–11:40</t>
  </si>
  <si>
    <t xml:space="preserve">17:00–17:40</t>
  </si>
  <si>
    <t xml:space="preserve">17:40–18:20</t>
  </si>
  <si>
    <t xml:space="preserve">18:20–19:00</t>
  </si>
  <si>
    <t xml:space="preserve">Psicóloga dos pais: sessões de 30 min; G = grupo (até 8 pais), I = individual</t>
  </si>
  <si>
    <t xml:space="preserve">Tipo</t>
  </si>
  <si>
    <t xml:space="preserve">I</t>
  </si>
  <si>
    <t xml:space="preserve">G</t>
  </si>
  <si>
    <t xml:space="preserve">Demanda estimada: 1 sessão a cada 2 visitas, cerca de 30 pais por dia com 300 crianças (27 com 270).</t>
  </si>
  <si>
    <t xml:space="preserve">Xadrez e capoeira: aulas de 1h no horário cheio, ao lado da visita (antes ou depois). Alternam a cada visita. Simulação com as 60 visitas do dia.</t>
  </si>
  <si>
    <t xml:space="preserve">Aula</t>
  </si>
  <si>
    <t xml:space="preserve">Xadrez (máx. 6)</t>
  </si>
  <si>
    <t xml:space="preserve">Capoeira (máx. 10)</t>
  </si>
  <si>
    <t xml:space="preserve">07:00–08:00</t>
  </si>
  <si>
    <t xml:space="preserve">08:00–09:00</t>
  </si>
  <si>
    <t xml:space="preserve">09:00–10:00</t>
  </si>
  <si>
    <t xml:space="preserve">10:00–11:00</t>
  </si>
  <si>
    <t xml:space="preserve">11:00–12:00</t>
  </si>
  <si>
    <t xml:space="preserve">13:00–14:00</t>
  </si>
  <si>
    <t xml:space="preserve">14:00–15:00</t>
  </si>
  <si>
    <t xml:space="preserve">15:00–16:00</t>
  </si>
  <si>
    <t xml:space="preserve">16:00–17:00</t>
  </si>
  <si>
    <t xml:space="preserve">17:00–18:00</t>
  </si>
  <si>
    <t xml:space="preserve">18:00–19:00</t>
  </si>
  <si>
    <t xml:space="preserve">Total/dia</t>
  </si>
  <si>
    <t xml:space="preserve">Espera média entre a visita e a aula: 4 min (máx. 30 min). Salas: 1 para xadrez, 1 para capoeira; 1 profissional por turno em cada.</t>
  </si>
  <si>
    <t xml:space="preserve">Oficinas profissionalizantes (turmas fixas): 1 sala, 7 encontros de 1h30 por dia. Distribuição PROVISÓRIA; o funcionamento das turmas ainda será definido.</t>
  </si>
  <si>
    <t xml:space="preserve">07:00–08:30</t>
  </si>
  <si>
    <t xml:space="preserve">Confeitaria e panificação (mães)</t>
  </si>
  <si>
    <t xml:space="preserve">Artesanato e personalizados (mães)</t>
  </si>
  <si>
    <t xml:space="preserve">Estética básica (mães)</t>
  </si>
  <si>
    <t xml:space="preserve">Elétrica e instalações básicas (pais)</t>
  </si>
  <si>
    <t xml:space="preserve">Informática e manutenção de celulares (pais)</t>
  </si>
  <si>
    <t xml:space="preserve">08:30–10:00</t>
  </si>
  <si>
    <t xml:space="preserve">Barbearia (pais)</t>
  </si>
  <si>
    <t xml:space="preserve">10:00–11:30</t>
  </si>
  <si>
    <t xml:space="preserve">13:00–14:30</t>
  </si>
  <si>
    <t xml:space="preserve">14:30–16:00</t>
  </si>
  <si>
    <t xml:space="preserve">16:00–17:30</t>
  </si>
  <si>
    <t xml:space="preserve">17:30–19:00</t>
  </si>
  <si>
    <t xml:space="preserve">Rosa = oficinas para mães; azul = oficinas para pais.</t>
  </si>
  <si>
    <t xml:space="preserve">Equipe e turnos (remuneração por turno: manhã 07h–12h e tarde 13h–19h)</t>
  </si>
  <si>
    <t xml:space="preserve">Função</t>
  </si>
  <si>
    <t xml:space="preserve">Profissionais por turno</t>
  </si>
  <si>
    <t xml:space="preserve">Turnos por dia</t>
  </si>
  <si>
    <t xml:space="preserve">Dias por ano</t>
  </si>
  <si>
    <t xml:space="preserve">Turnos por ano</t>
  </si>
  <si>
    <t xml:space="preserve">Fonoaudiologia</t>
  </si>
  <si>
    <t xml:space="preserve">Terapia Ocupacional</t>
  </si>
  <si>
    <t xml:space="preserve">Psicologia</t>
  </si>
  <si>
    <t xml:space="preserve">Psicopedagogia</t>
  </si>
  <si>
    <t xml:space="preserve">Psicomotricidade</t>
  </si>
  <si>
    <t xml:space="preserve">Terapia alimentar (nutrição)</t>
  </si>
  <si>
    <t xml:space="preserve">Psicóloga dos pais</t>
  </si>
  <si>
    <t xml:space="preserve">Odontologia (1 por dia)</t>
  </si>
  <si>
    <t xml:space="preserve">Capoeira (1 por vez)</t>
  </si>
  <si>
    <t xml:space="preserve">Xadrez (1 por turno)</t>
  </si>
  <si>
    <t xml:space="preserve">Médicos (3 especialidades, 1 dia/mês, 2 turnos)</t>
  </si>
  <si>
    <t xml:space="preserve">Total de turnos por ano</t>
  </si>
  <si>
    <t xml:space="preserve">Xadrez: 1 profissional por turno (2 por dia). Capoeira: 1 profissional por turno (confirmado).</t>
  </si>
  <si>
    <t xml:space="preserve">Dentista: pode ser profissionais diferentes por dia; o custo anual considera 1 por turno em todos os dias de atendimento.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</si>
</sst>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General"/>
    <numFmt numFmtId="166" formatCode="0%"/>
    <numFmt numFmtId="167" formatCode="#,##0"/>
    <numFmt numFmtId="168" formatCode="0"/>
    <numFmt numFmtId="169" formatCode="0.0"/>
    <numFmt numFmtId="170" formatCode="0.00"/>
  </numFmts>
  <fonts count="9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sz val="11"/>
      <name val="Arial"/>
      <family val="0"/>
      <charset val="1"/>
    </font>
    <font>
      <b val="true"/>
      <sz val="11"/>
      <color rgb="FFFFFFFF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name val="Arial"/>
      <family val="0"/>
      <charset val="1"/>
    </font>
  </fonts>
  <fills count="15">
    <fill>
      <patternFill patternType="none"/>
    </fill>
    <fill>
      <patternFill patternType="gray125"/>
    </fill>
    <fill>
      <patternFill patternType="solid">
        <fgColor rgb="FF1F4E79"/>
        <bgColor rgb="FF003366"/>
      </patternFill>
    </fill>
    <fill>
      <patternFill patternType="solid">
        <fgColor rgb="FFFFFF00"/>
        <bgColor rgb="FFFFFF00"/>
      </patternFill>
    </fill>
    <fill>
      <patternFill patternType="solid">
        <fgColor rgb="FFC6E0B4"/>
        <bgColor rgb="FFB7E1E0"/>
      </patternFill>
    </fill>
    <fill>
      <patternFill patternType="solid">
        <fgColor rgb="FFB7E1E0"/>
        <bgColor rgb="FFBDD7EE"/>
      </patternFill>
    </fill>
    <fill>
      <patternFill patternType="solid">
        <fgColor rgb="FFFFE699"/>
        <bgColor rgb="FFFFF2CC"/>
      </patternFill>
    </fill>
    <fill>
      <patternFill patternType="solid">
        <fgColor rgb="FFBDD7EE"/>
        <bgColor rgb="FFB7E1E0"/>
      </patternFill>
    </fill>
    <fill>
      <patternFill patternType="solid">
        <fgColor rgb="FFD9C3E8"/>
        <bgColor rgb="FFD9D9D9"/>
      </patternFill>
    </fill>
    <fill>
      <patternFill patternType="solid">
        <fgColor rgb="FFF8CBAD"/>
        <bgColor rgb="FFFFE699"/>
      </patternFill>
    </fill>
    <fill>
      <patternFill patternType="solid">
        <fgColor rgb="FFD9D9D9"/>
        <bgColor rgb="FFBDD7EE"/>
      </patternFill>
    </fill>
    <fill>
      <patternFill patternType="solid">
        <fgColor rgb="FFFFF2CC"/>
        <bgColor rgb="FFFCE4D6"/>
      </patternFill>
    </fill>
    <fill>
      <patternFill patternType="solid">
        <fgColor rgb="FFE2EFDA"/>
        <bgColor rgb="FFDDEBF7"/>
      </patternFill>
    </fill>
    <fill>
      <patternFill patternType="solid">
        <fgColor rgb="FFFCE4D6"/>
        <bgColor rgb="FFFFF2CC"/>
      </patternFill>
    </fill>
    <fill>
      <patternFill patternType="solid">
        <fgColor rgb="FFDDEBF7"/>
        <bgColor rgb="FFE2EFDA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8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6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7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8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9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7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9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1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8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4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6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8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5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5" fillId="11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70" fontId="5" fillId="0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1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5" fillId="13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  <xf numFmtId="164" fontId="5" fillId="14" borderId="1" xfId="0" applyFont="true" applyBorder="true" applyAlignment="true" applyProtection="false">
      <alignment horizontal="general" vertical="center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3">
    <dxf>
      <fill>
        <patternFill patternType="solid">
          <fgColor rgb="FF1F4E79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C3E8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B7E1E0"/>
      <rgbColor rgb="FFE2EFDA"/>
      <rgbColor rgb="FFFFE699"/>
      <rgbColor rgb="FFBDD7EE"/>
      <rgbColor rgb="FFFCE4D6"/>
      <rgbColor rgb="FFD9D9D9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C6E0B4"/>
      <rgbColor rgb="FF003366"/>
      <rgbColor rgb="FF339966"/>
      <rgbColor rgb="FF003300"/>
      <rgbColor rgb="FF333300"/>
      <rgbColor rgb="FF993300"/>
      <rgbColor rgb="FF993366"/>
      <rgbColor rgb="FF1F4E7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8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3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34"/>
    <col collapsed="false" customWidth="true" hidden="false" outlineLevel="0" max="3" min="3" style="0" width="70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</row>
    <row r="5" customFormat="false" ht="15" hidden="false" customHeight="false" outlineLevel="0" collapsed="false">
      <c r="A5" s="4" t="s">
        <v>5</v>
      </c>
      <c r="B5" s="4" t="n">
        <f aca="false">Calendário!B16</f>
        <v>246</v>
      </c>
      <c r="C5" s="4" t="s">
        <v>6</v>
      </c>
    </row>
    <row r="6" customFormat="false" ht="15" hidden="false" customHeight="false" outlineLevel="0" collapsed="false">
      <c r="A6" s="4" t="s">
        <v>7</v>
      </c>
      <c r="B6" s="4" t="s">
        <v>8</v>
      </c>
      <c r="C6" s="4" t="s">
        <v>9</v>
      </c>
    </row>
    <row r="7" customFormat="false" ht="15" hidden="false" customHeight="false" outlineLevel="0" collapsed="false">
      <c r="A7" s="4" t="s">
        <v>10</v>
      </c>
      <c r="B7" s="4" t="s">
        <v>11</v>
      </c>
      <c r="C7" s="4" t="s">
        <v>12</v>
      </c>
    </row>
    <row r="8" customFormat="false" ht="15" hidden="false" customHeight="false" outlineLevel="0" collapsed="false">
      <c r="A8" s="4" t="s">
        <v>13</v>
      </c>
      <c r="B8" s="5" t="n">
        <v>16</v>
      </c>
      <c r="C8" s="4" t="s">
        <v>14</v>
      </c>
    </row>
    <row r="9" customFormat="false" ht="15" hidden="false" customHeight="false" outlineLevel="0" collapsed="false">
      <c r="A9" s="4" t="s">
        <v>15</v>
      </c>
      <c r="B9" s="5" t="n">
        <v>4</v>
      </c>
      <c r="C9" s="4" t="s">
        <v>16</v>
      </c>
    </row>
    <row r="10" customFormat="false" ht="15" hidden="false" customHeight="false" outlineLevel="0" collapsed="false">
      <c r="A10" s="4" t="s">
        <v>17</v>
      </c>
      <c r="B10" s="4" t="n">
        <f aca="false">B8/B9</f>
        <v>4</v>
      </c>
      <c r="C10" s="4" t="s">
        <v>18</v>
      </c>
    </row>
    <row r="11" customFormat="false" ht="15" hidden="false" customHeight="false" outlineLevel="0" collapsed="false">
      <c r="A11" s="4" t="s">
        <v>19</v>
      </c>
      <c r="B11" s="5" t="n">
        <v>5</v>
      </c>
      <c r="C11" s="4" t="s">
        <v>20</v>
      </c>
    </row>
    <row r="12" customFormat="false" ht="15" hidden="false" customHeight="false" outlineLevel="0" collapsed="false">
      <c r="A12" s="4" t="s">
        <v>21</v>
      </c>
      <c r="B12" s="5" t="n">
        <v>60</v>
      </c>
      <c r="C12" s="4" t="s">
        <v>22</v>
      </c>
    </row>
    <row r="13" customFormat="false" ht="15" hidden="false" customHeight="false" outlineLevel="0" collapsed="false">
      <c r="A13" s="4" t="s">
        <v>23</v>
      </c>
      <c r="B13" s="4" t="n">
        <f aca="false">B8*0.5</f>
        <v>8</v>
      </c>
      <c r="C13" s="4" t="s">
        <v>24</v>
      </c>
    </row>
    <row r="15" customFormat="false" ht="15" hidden="false" customHeight="false" outlineLevel="0" collapsed="false">
      <c r="A15" s="6" t="s">
        <v>25</v>
      </c>
    </row>
    <row r="16" customFormat="false" ht="26.85" hidden="false" customHeight="false" outlineLevel="0" collapsed="false">
      <c r="A16" s="3" t="s">
        <v>26</v>
      </c>
      <c r="B16" s="3" t="s">
        <v>27</v>
      </c>
      <c r="C16" s="3" t="s">
        <v>28</v>
      </c>
    </row>
    <row r="17" customFormat="false" ht="15" hidden="false" customHeight="false" outlineLevel="0" collapsed="false">
      <c r="A17" s="4" t="s">
        <v>29</v>
      </c>
      <c r="B17" s="7" t="n">
        <v>0</v>
      </c>
      <c r="C17" s="7" t="n">
        <v>6</v>
      </c>
    </row>
    <row r="18" customFormat="false" ht="15" hidden="false" customHeight="false" outlineLevel="0" collapsed="false">
      <c r="A18" s="4" t="s">
        <v>30</v>
      </c>
      <c r="B18" s="8" t="n">
        <f aca="false">$B$12-B17</f>
        <v>60</v>
      </c>
      <c r="C18" s="8" t="n">
        <f aca="false">$B$12-C17</f>
        <v>54</v>
      </c>
    </row>
    <row r="19" customFormat="false" ht="15" hidden="false" customHeight="false" outlineLevel="0" collapsed="false">
      <c r="A19" s="4" t="s">
        <v>31</v>
      </c>
      <c r="B19" s="9" t="n">
        <f aca="false">B18*$B$11</f>
        <v>300</v>
      </c>
      <c r="C19" s="9" t="n">
        <f aca="false">C18*$B$11</f>
        <v>270</v>
      </c>
    </row>
    <row r="20" customFormat="false" ht="15" hidden="false" customHeight="false" outlineLevel="0" collapsed="false">
      <c r="A20" s="4" t="s">
        <v>32</v>
      </c>
      <c r="B20" s="10" t="n">
        <f aca="false">B18/$B$12</f>
        <v>1</v>
      </c>
      <c r="C20" s="10" t="n">
        <f aca="false">C18/$B$12</f>
        <v>0.9</v>
      </c>
    </row>
    <row r="21" customFormat="false" ht="15" hidden="false" customHeight="false" outlineLevel="0" collapsed="false">
      <c r="A21" s="4" t="s">
        <v>33</v>
      </c>
      <c r="B21" s="8" t="n">
        <f aca="false">B18*$B$9</f>
        <v>240</v>
      </c>
      <c r="C21" s="8" t="n">
        <f aca="false">C18*$B$9</f>
        <v>216</v>
      </c>
    </row>
    <row r="22" customFormat="false" ht="15" hidden="false" customHeight="false" outlineLevel="0" collapsed="false">
      <c r="A22" s="4" t="s">
        <v>34</v>
      </c>
      <c r="B22" s="11" t="n">
        <f aca="false">B19*$B$8*$B$5/20</f>
        <v>59040</v>
      </c>
      <c r="C22" s="11" t="n">
        <f aca="false">C19*$B$8*$B$5/20</f>
        <v>53136</v>
      </c>
    </row>
    <row r="23" customFormat="false" ht="15" hidden="false" customHeight="false" outlineLevel="0" collapsed="false">
      <c r="A23" s="4" t="s">
        <v>35</v>
      </c>
      <c r="B23" s="12" t="n">
        <f aca="false">$B$8*$B$5/20</f>
        <v>196.8</v>
      </c>
      <c r="C23" s="12" t="n">
        <f aca="false">$B$8*$B$5/20</f>
        <v>196.8</v>
      </c>
    </row>
    <row r="24" customFormat="false" ht="15" hidden="false" customHeight="false" outlineLevel="0" collapsed="false">
      <c r="A24" s="4" t="s">
        <v>36</v>
      </c>
      <c r="B24" s="10" t="n">
        <f aca="false">MIN(1,192/B19)</f>
        <v>0.64</v>
      </c>
      <c r="C24" s="10" t="n">
        <f aca="false">MIN(1,192/C19)</f>
        <v>0.711111111111111</v>
      </c>
    </row>
    <row r="25" customFormat="false" ht="26.85" hidden="false" customHeight="false" outlineLevel="0" collapsed="false">
      <c r="A25" s="4" t="s">
        <v>37</v>
      </c>
      <c r="B25" s="8" t="s">
        <v>38</v>
      </c>
      <c r="C25" s="8" t="s">
        <v>38</v>
      </c>
    </row>
    <row r="27" customFormat="false" ht="15" hidden="false" customHeight="false" outlineLevel="0" collapsed="false">
      <c r="A27" s="6" t="s">
        <v>39</v>
      </c>
    </row>
    <row r="28" customFormat="false" ht="15" hidden="false" customHeight="false" outlineLevel="0" collapsed="false">
      <c r="A28" s="2" t="s">
        <v>40</v>
      </c>
    </row>
    <row r="29" customFormat="false" ht="15" hidden="false" customHeight="false" outlineLevel="0" collapsed="false">
      <c r="A29" s="2" t="s">
        <v>41</v>
      </c>
    </row>
    <row r="30" customFormat="false" ht="15" hidden="false" customHeight="false" outlineLevel="0" collapsed="false">
      <c r="A30" s="2" t="s">
        <v>42</v>
      </c>
    </row>
    <row r="31" customFormat="false" ht="15" hidden="false" customHeight="false" outlineLevel="0" collapsed="false">
      <c r="A31" s="2" t="s">
        <v>43</v>
      </c>
    </row>
    <row r="32" customFormat="false" ht="15" hidden="false" customHeight="false" outlineLevel="0" collapsed="false">
      <c r="A32" s="2" t="s">
        <v>44</v>
      </c>
    </row>
    <row r="33" customFormat="false" ht="15" hidden="false" customHeight="false" outlineLevel="0" collapsed="false">
      <c r="A33" s="2" t="s">
        <v>45</v>
      </c>
    </row>
    <row r="34" customFormat="false" ht="15" hidden="false" customHeight="false" outlineLevel="0" collapsed="false">
      <c r="A34" s="2" t="s">
        <v>46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64"/>
    <col collapsed="false" customWidth="true" hidden="false" outlineLevel="0" max="4" min="2" style="0" width="30"/>
  </cols>
  <sheetData>
    <row r="1" customFormat="false" ht="17.35" hidden="false" customHeight="false" outlineLevel="0" collapsed="false">
      <c r="A1" s="1" t="s">
        <v>47</v>
      </c>
    </row>
    <row r="2" customFormat="false" ht="15" hidden="false" customHeight="false" outlineLevel="0" collapsed="false">
      <c r="A2" s="2" t="s">
        <v>48</v>
      </c>
    </row>
    <row r="4" customFormat="false" ht="48" hidden="false" customHeight="true" outlineLevel="0" collapsed="false">
      <c r="A4" s="3" t="s">
        <v>26</v>
      </c>
      <c r="B4" s="3" t="s">
        <v>49</v>
      </c>
      <c r="C4" s="3" t="s">
        <v>50</v>
      </c>
      <c r="D4" s="3" t="s">
        <v>51</v>
      </c>
    </row>
    <row r="5" customFormat="false" ht="15" hidden="false" customHeight="false" outlineLevel="0" collapsed="false">
      <c r="A5" s="4" t="s">
        <v>13</v>
      </c>
      <c r="B5" s="7" t="n">
        <v>24</v>
      </c>
      <c r="C5" s="7" t="n">
        <v>16</v>
      </c>
      <c r="D5" s="7" t="n">
        <v>24</v>
      </c>
    </row>
    <row r="6" customFormat="false" ht="15" hidden="false" customHeight="false" outlineLevel="0" collapsed="false">
      <c r="A6" s="4" t="s">
        <v>52</v>
      </c>
      <c r="B6" s="7" t="n">
        <v>2</v>
      </c>
      <c r="C6" s="7" t="n">
        <v>2</v>
      </c>
      <c r="D6" s="7" t="n">
        <v>3</v>
      </c>
    </row>
    <row r="7" customFormat="false" ht="15" hidden="false" customHeight="false" outlineLevel="0" collapsed="false">
      <c r="A7" s="4" t="s">
        <v>17</v>
      </c>
      <c r="B7" s="7" t="n">
        <v>6</v>
      </c>
      <c r="C7" s="7" t="n">
        <v>4</v>
      </c>
      <c r="D7" s="7" t="n">
        <v>4</v>
      </c>
    </row>
    <row r="8" customFormat="false" ht="15" hidden="false" customHeight="false" outlineLevel="0" collapsed="false">
      <c r="A8" s="4" t="s">
        <v>23</v>
      </c>
      <c r="B8" s="8" t="n">
        <f aca="false">B5*0.5</f>
        <v>12</v>
      </c>
      <c r="C8" s="8" t="n">
        <f aca="false">C5*0.5</f>
        <v>8</v>
      </c>
      <c r="D8" s="8" t="n">
        <f aca="false">D5*0.5</f>
        <v>12</v>
      </c>
    </row>
    <row r="9" customFormat="false" ht="15" hidden="false" customHeight="false" outlineLevel="0" collapsed="false">
      <c r="A9" s="4" t="s">
        <v>53</v>
      </c>
      <c r="B9" s="7" t="n">
        <v>60</v>
      </c>
      <c r="C9" s="7" t="n">
        <v>60</v>
      </c>
      <c r="D9" s="7" t="n">
        <v>38</v>
      </c>
    </row>
    <row r="10" customFormat="false" ht="15" hidden="false" customHeight="false" outlineLevel="0" collapsed="false">
      <c r="A10" s="4" t="s">
        <v>54</v>
      </c>
      <c r="B10" s="9" t="n">
        <v>200</v>
      </c>
      <c r="C10" s="9" t="n">
        <f aca="false">C9*5</f>
        <v>300</v>
      </c>
      <c r="D10" s="9" t="n">
        <f aca="false">D9*5</f>
        <v>190</v>
      </c>
    </row>
    <row r="11" customFormat="false" ht="15" hidden="false" customHeight="false" outlineLevel="0" collapsed="false">
      <c r="A11" s="4" t="s">
        <v>55</v>
      </c>
      <c r="B11" s="7" t="n">
        <v>6</v>
      </c>
      <c r="C11" s="7" t="n">
        <v>6</v>
      </c>
      <c r="D11" s="7" t="n">
        <v>4</v>
      </c>
    </row>
    <row r="12" customFormat="false" ht="15" hidden="false" customHeight="false" outlineLevel="0" collapsed="false">
      <c r="A12" s="4" t="s">
        <v>56</v>
      </c>
      <c r="B12" s="9" t="n">
        <v>180</v>
      </c>
      <c r="C12" s="9" t="n">
        <f aca="false">(C9-C11)*5</f>
        <v>270</v>
      </c>
      <c r="D12" s="9" t="n">
        <f aca="false">(D9-D11)*5</f>
        <v>170</v>
      </c>
    </row>
    <row r="13" customFormat="false" ht="15" hidden="false" customHeight="false" outlineLevel="0" collapsed="false">
      <c r="A13" s="4" t="s">
        <v>57</v>
      </c>
      <c r="B13" s="9" t="n">
        <v>180</v>
      </c>
      <c r="C13" s="9" t="n">
        <f aca="false">C10</f>
        <v>300</v>
      </c>
      <c r="D13" s="9" t="n">
        <f aca="false">D10</f>
        <v>190</v>
      </c>
    </row>
    <row r="14" customFormat="false" ht="15" hidden="false" customHeight="false" outlineLevel="0" collapsed="false">
      <c r="A14" s="4" t="s">
        <v>35</v>
      </c>
      <c r="B14" s="11" t="n">
        <f aca="false">B5*Resumo!$B$5/20</f>
        <v>295.2</v>
      </c>
      <c r="C14" s="11" t="n">
        <f aca="false">C5*Resumo!$B$5/20</f>
        <v>196.8</v>
      </c>
      <c r="D14" s="11" t="n">
        <f aca="false">D5*Resumo!$B$5/20</f>
        <v>295.2</v>
      </c>
    </row>
    <row r="15" customFormat="false" ht="15" hidden="false" customHeight="false" outlineLevel="0" collapsed="false">
      <c r="A15" s="4" t="s">
        <v>58</v>
      </c>
      <c r="B15" s="11" t="n">
        <f aca="false">B10*B14</f>
        <v>59040</v>
      </c>
      <c r="C15" s="11" t="n">
        <f aca="false">C10*C14</f>
        <v>59040</v>
      </c>
      <c r="D15" s="11" t="n">
        <f aca="false">D10*D14</f>
        <v>56088</v>
      </c>
    </row>
    <row r="16" customFormat="false" ht="15" hidden="false" customHeight="false" outlineLevel="0" collapsed="false">
      <c r="A16" s="4" t="s">
        <v>59</v>
      </c>
      <c r="B16" s="10" t="n">
        <f aca="false">MIN(1,192/B10)</f>
        <v>0.96</v>
      </c>
      <c r="C16" s="10" t="n">
        <f aca="false">MIN(1,192/C10)</f>
        <v>0.64</v>
      </c>
      <c r="D16" s="10" t="n">
        <f aca="false">MIN(1,192/D10)</f>
        <v>1</v>
      </c>
    </row>
    <row r="17" customFormat="false" ht="15" hidden="false" customHeight="false" outlineLevel="0" collapsed="false">
      <c r="A17" s="4" t="s">
        <v>60</v>
      </c>
      <c r="B17" s="13" t="n">
        <f aca="false">B10/16/12</f>
        <v>1.04166666666667</v>
      </c>
      <c r="C17" s="13" t="n">
        <f aca="false">C10/16/12</f>
        <v>1.5625</v>
      </c>
      <c r="D17" s="13" t="n">
        <f aca="false">D10/16/12</f>
        <v>0.989583333333333</v>
      </c>
    </row>
    <row r="19" customFormat="false" ht="15" hidden="false" customHeight="false" outlineLevel="0" collapsed="false">
      <c r="A19" s="6" t="s">
        <v>39</v>
      </c>
    </row>
    <row r="20" customFormat="false" ht="15" hidden="false" customHeight="false" outlineLevel="0" collapsed="false">
      <c r="A20" s="2" t="s">
        <v>61</v>
      </c>
    </row>
    <row r="21" customFormat="false" ht="15" hidden="false" customHeight="false" outlineLevel="0" collapsed="false">
      <c r="A21" s="2" t="s">
        <v>62</v>
      </c>
    </row>
    <row r="22" customFormat="false" ht="15" hidden="false" customHeight="false" outlineLevel="0" collapsed="false">
      <c r="A22" s="2" t="s">
        <v>63</v>
      </c>
    </row>
    <row r="23" customFormat="false" ht="15" hidden="false" customHeight="false" outlineLevel="0" collapsed="false">
      <c r="A23" s="2" t="s">
        <v>64</v>
      </c>
    </row>
    <row r="24" customFormat="false" ht="15" hidden="false" customHeight="false" outlineLevel="0" collapsed="false">
      <c r="A24" s="2" t="s">
        <v>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L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6"/>
    <col collapsed="false" customWidth="true" hidden="false" outlineLevel="0" max="2" min="2" style="0" width="22"/>
    <col collapsed="false" customWidth="true" hidden="false" outlineLevel="0" max="3" min="3" style="0" width="3"/>
    <col collapsed="false" customWidth="true" hidden="false" outlineLevel="0" max="4" min="4" style="0" width="14"/>
    <col collapsed="false" customWidth="true" hidden="false" outlineLevel="0" max="5" min="5" style="0" width="8"/>
    <col collapsed="false" customWidth="true" hidden="false" outlineLevel="0" max="6" min="6" style="0" width="70"/>
    <col collapsed="false" customWidth="true" hidden="false" outlineLevel="0" max="8" min="8" style="0" width="16"/>
    <col collapsed="false" customWidth="true" hidden="false" outlineLevel="0" max="9" min="9" style="0" width="14"/>
    <col collapsed="false" customWidth="true" hidden="false" outlineLevel="0" max="10" min="10" style="0" width="10"/>
    <col collapsed="false" customWidth="true" hidden="false" outlineLevel="0" max="12" min="11" style="0" width="14"/>
  </cols>
  <sheetData>
    <row r="1" customFormat="false" ht="17.35" hidden="false" customHeight="false" outlineLevel="0" collapsed="false">
      <c r="A1" s="1" t="s">
        <v>66</v>
      </c>
    </row>
    <row r="3" customFormat="false" ht="31.5" hidden="false" customHeight="true" outlineLevel="0" collapsed="false">
      <c r="A3" s="3" t="s">
        <v>67</v>
      </c>
      <c r="B3" s="3" t="s">
        <v>68</v>
      </c>
      <c r="D3" s="6" t="s">
        <v>69</v>
      </c>
      <c r="H3" s="3" t="s">
        <v>70</v>
      </c>
      <c r="I3" s="3" t="s">
        <v>71</v>
      </c>
      <c r="J3" s="3" t="s">
        <v>72</v>
      </c>
      <c r="K3" s="3" t="s">
        <v>73</v>
      </c>
      <c r="L3" s="3" t="s">
        <v>74</v>
      </c>
    </row>
    <row r="4" customFormat="false" ht="15" hidden="false" customHeight="false" outlineLevel="0" collapsed="false">
      <c r="A4" s="4" t="s">
        <v>75</v>
      </c>
      <c r="B4" s="5" t="n">
        <v>22</v>
      </c>
      <c r="D4" s="3" t="s">
        <v>76</v>
      </c>
      <c r="E4" s="3" t="s">
        <v>77</v>
      </c>
      <c r="F4" s="3" t="s">
        <v>78</v>
      </c>
      <c r="H4" s="4" t="s">
        <v>79</v>
      </c>
      <c r="I4" s="5" t="n">
        <v>52</v>
      </c>
      <c r="J4" s="5" t="n">
        <v>4</v>
      </c>
      <c r="K4" s="4" t="n">
        <f aca="false">I4-J4</f>
        <v>48</v>
      </c>
      <c r="L4" s="4" t="n">
        <f aca="false">K4*Resumo!$B$9</f>
        <v>192</v>
      </c>
    </row>
    <row r="5" customFormat="false" ht="15" hidden="false" customHeight="false" outlineLevel="0" collapsed="false">
      <c r="A5" s="4" t="s">
        <v>80</v>
      </c>
      <c r="B5" s="5" t="n">
        <v>21</v>
      </c>
      <c r="D5" s="4" t="s">
        <v>81</v>
      </c>
      <c r="E5" s="4" t="s">
        <v>82</v>
      </c>
      <c r="F5" s="4" t="s">
        <v>83</v>
      </c>
      <c r="H5" s="4" t="s">
        <v>84</v>
      </c>
      <c r="I5" s="5" t="n">
        <v>52</v>
      </c>
      <c r="J5" s="5" t="n">
        <v>2</v>
      </c>
      <c r="K5" s="4" t="n">
        <f aca="false">I5-J5</f>
        <v>50</v>
      </c>
      <c r="L5" s="4" t="n">
        <f aca="false">K5*Resumo!$B$9</f>
        <v>200</v>
      </c>
    </row>
    <row r="6" customFormat="false" ht="15" hidden="false" customHeight="false" outlineLevel="0" collapsed="false">
      <c r="A6" s="4" t="s">
        <v>85</v>
      </c>
      <c r="B6" s="5" t="n">
        <v>21</v>
      </c>
      <c r="D6" s="4" t="s">
        <v>86</v>
      </c>
      <c r="E6" s="4" t="s">
        <v>87</v>
      </c>
      <c r="F6" s="4" t="s">
        <v>88</v>
      </c>
      <c r="H6" s="4" t="s">
        <v>89</v>
      </c>
      <c r="I6" s="5" t="n">
        <v>53</v>
      </c>
      <c r="J6" s="5" t="n">
        <v>3</v>
      </c>
      <c r="K6" s="4" t="n">
        <f aca="false">I6-J6</f>
        <v>50</v>
      </c>
      <c r="L6" s="4" t="n">
        <f aca="false">K6*Resumo!$B$9</f>
        <v>200</v>
      </c>
    </row>
    <row r="7" customFormat="false" ht="15" hidden="false" customHeight="false" outlineLevel="0" collapsed="false">
      <c r="A7" s="4" t="s">
        <v>90</v>
      </c>
      <c r="B7" s="5" t="n">
        <v>21</v>
      </c>
      <c r="D7" s="4" t="s">
        <v>91</v>
      </c>
      <c r="E7" s="4" t="s">
        <v>87</v>
      </c>
      <c r="F7" s="4" t="s">
        <v>92</v>
      </c>
      <c r="H7" s="4" t="s">
        <v>93</v>
      </c>
      <c r="I7" s="5" t="n">
        <v>52</v>
      </c>
      <c r="J7" s="5" t="n">
        <v>2</v>
      </c>
      <c r="K7" s="4" t="n">
        <f aca="false">I7-J7</f>
        <v>50</v>
      </c>
      <c r="L7" s="4" t="n">
        <f aca="false">K7*Resumo!$B$9</f>
        <v>200</v>
      </c>
    </row>
    <row r="8" customFormat="false" ht="15" hidden="false" customHeight="false" outlineLevel="0" collapsed="false">
      <c r="A8" s="4" t="s">
        <v>94</v>
      </c>
      <c r="B8" s="5" t="n">
        <v>19</v>
      </c>
      <c r="D8" s="4" t="s">
        <v>95</v>
      </c>
      <c r="E8" s="4" t="s">
        <v>87</v>
      </c>
      <c r="F8" s="4" t="s">
        <v>96</v>
      </c>
      <c r="H8" s="4" t="s">
        <v>97</v>
      </c>
      <c r="I8" s="5" t="n">
        <v>52</v>
      </c>
      <c r="J8" s="5" t="n">
        <v>4</v>
      </c>
      <c r="K8" s="4" t="n">
        <f aca="false">I8-J8</f>
        <v>48</v>
      </c>
      <c r="L8" s="4" t="n">
        <f aca="false">K8*Resumo!$B$9</f>
        <v>192</v>
      </c>
    </row>
    <row r="9" customFormat="false" ht="15" hidden="false" customHeight="false" outlineLevel="0" collapsed="false">
      <c r="A9" s="4" t="s">
        <v>98</v>
      </c>
      <c r="B9" s="5" t="n">
        <v>21</v>
      </c>
      <c r="D9" s="4" t="s">
        <v>99</v>
      </c>
      <c r="E9" s="4" t="s">
        <v>100</v>
      </c>
      <c r="F9" s="4" t="s">
        <v>101</v>
      </c>
    </row>
    <row r="10" customFormat="false" ht="15" hidden="false" customHeight="false" outlineLevel="0" collapsed="false">
      <c r="A10" s="4" t="s">
        <v>102</v>
      </c>
      <c r="B10" s="5" t="n">
        <v>20</v>
      </c>
      <c r="D10" s="4" t="s">
        <v>103</v>
      </c>
      <c r="E10" s="4" t="s">
        <v>104</v>
      </c>
      <c r="F10" s="4" t="s">
        <v>105</v>
      </c>
      <c r="H10" s="2" t="s">
        <v>106</v>
      </c>
    </row>
    <row r="11" customFormat="false" ht="15" hidden="false" customHeight="false" outlineLevel="0" collapsed="false">
      <c r="A11" s="4" t="s">
        <v>107</v>
      </c>
      <c r="B11" s="5" t="n">
        <v>18</v>
      </c>
      <c r="D11" s="4" t="s">
        <v>108</v>
      </c>
      <c r="E11" s="4" t="s">
        <v>100</v>
      </c>
      <c r="F11" s="4" t="s">
        <v>109</v>
      </c>
    </row>
    <row r="12" customFormat="false" ht="15" hidden="false" customHeight="false" outlineLevel="0" collapsed="false">
      <c r="A12" s="4" t="s">
        <v>110</v>
      </c>
      <c r="B12" s="5" t="n">
        <v>21</v>
      </c>
      <c r="D12" s="4" t="s">
        <v>111</v>
      </c>
      <c r="E12" s="4" t="s">
        <v>100</v>
      </c>
      <c r="F12" s="4" t="s">
        <v>112</v>
      </c>
    </row>
    <row r="13" customFormat="false" ht="15" hidden="false" customHeight="false" outlineLevel="0" collapsed="false">
      <c r="A13" s="4" t="s">
        <v>113</v>
      </c>
      <c r="B13" s="5" t="n">
        <v>21</v>
      </c>
      <c r="D13" s="4" t="s">
        <v>114</v>
      </c>
      <c r="E13" s="4" t="s">
        <v>87</v>
      </c>
      <c r="F13" s="4" t="s">
        <v>115</v>
      </c>
    </row>
    <row r="14" customFormat="false" ht="15" hidden="false" customHeight="false" outlineLevel="0" collapsed="false">
      <c r="A14" s="4" t="s">
        <v>116</v>
      </c>
      <c r="B14" s="5" t="n">
        <v>20</v>
      </c>
      <c r="D14" s="4" t="s">
        <v>117</v>
      </c>
      <c r="E14" s="4" t="s">
        <v>104</v>
      </c>
      <c r="F14" s="4" t="s">
        <v>115</v>
      </c>
    </row>
    <row r="15" customFormat="false" ht="15" hidden="false" customHeight="false" outlineLevel="0" collapsed="false">
      <c r="A15" s="4" t="s">
        <v>118</v>
      </c>
      <c r="B15" s="5" t="n">
        <f aca="false">21+IF($B$19="S",1,0)</f>
        <v>21</v>
      </c>
      <c r="D15" s="4" t="s">
        <v>119</v>
      </c>
      <c r="E15" s="4" t="s">
        <v>82</v>
      </c>
      <c r="F15" s="4" t="s">
        <v>120</v>
      </c>
    </row>
    <row r="16" customFormat="false" ht="15" hidden="false" customHeight="false" outlineLevel="0" collapsed="false">
      <c r="A16" s="14" t="s">
        <v>121</v>
      </c>
      <c r="B16" s="14" t="n">
        <f aca="false">SUM(B4:B15)</f>
        <v>246</v>
      </c>
      <c r="D16" s="4" t="s">
        <v>122</v>
      </c>
      <c r="E16" s="4" t="s">
        <v>100</v>
      </c>
      <c r="F16" s="4" t="s">
        <v>123</v>
      </c>
    </row>
    <row r="17" customFormat="false" ht="15" hidden="false" customHeight="false" outlineLevel="0" collapsed="false">
      <c r="D17" s="4" t="s">
        <v>124</v>
      </c>
      <c r="E17" s="4" t="s">
        <v>82</v>
      </c>
      <c r="F17" s="4" t="s">
        <v>125</v>
      </c>
    </row>
    <row r="18" customFormat="false" ht="15" hidden="false" customHeight="false" outlineLevel="0" collapsed="false">
      <c r="A18" s="2" t="s">
        <v>126</v>
      </c>
      <c r="D18" s="4" t="s">
        <v>127</v>
      </c>
      <c r="E18" s="4" t="s">
        <v>128</v>
      </c>
      <c r="F18" s="4" t="s">
        <v>129</v>
      </c>
    </row>
    <row r="19" customFormat="false" ht="15" hidden="false" customHeight="false" outlineLevel="0" collapsed="false">
      <c r="A19" s="14" t="s">
        <v>130</v>
      </c>
      <c r="B19" s="15" t="s">
        <v>131</v>
      </c>
      <c r="D19" s="4" t="s">
        <v>132</v>
      </c>
      <c r="E19" s="4" t="s">
        <v>128</v>
      </c>
      <c r="F19" s="4" t="s">
        <v>133</v>
      </c>
    </row>
    <row r="20" customFormat="false" ht="15" hidden="false" customHeight="false" outlineLevel="0" collapsed="false">
      <c r="A20" s="2" t="s">
        <v>134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N3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4" min="1" style="0" width="14"/>
  </cols>
  <sheetData>
    <row r="1" customFormat="false" ht="17.35" hidden="false" customHeight="false" outlineLevel="0" collapsed="false">
      <c r="A1" s="1" t="s">
        <v>135</v>
      </c>
    </row>
    <row r="2" customFormat="false" ht="15" hidden="false" customHeight="false" outlineLevel="0" collapsed="false">
      <c r="A2" s="2" t="s">
        <v>136</v>
      </c>
    </row>
    <row r="4" customFormat="false" ht="43.5" hidden="false" customHeight="true" outlineLevel="0" collapsed="false">
      <c r="A4" s="3" t="s">
        <v>137</v>
      </c>
      <c r="B4" s="3" t="s">
        <v>138</v>
      </c>
      <c r="C4" s="3" t="s">
        <v>139</v>
      </c>
      <c r="D4" s="3" t="s">
        <v>140</v>
      </c>
      <c r="E4" s="3" t="s">
        <v>141</v>
      </c>
      <c r="F4" s="3" t="s">
        <v>142</v>
      </c>
      <c r="G4" s="3" t="s">
        <v>143</v>
      </c>
      <c r="H4" s="3" t="s">
        <v>144</v>
      </c>
      <c r="I4" s="3" t="s">
        <v>145</v>
      </c>
      <c r="J4" s="3" t="s">
        <v>146</v>
      </c>
      <c r="K4" s="3" t="s">
        <v>147</v>
      </c>
      <c r="L4" s="3" t="s">
        <v>148</v>
      </c>
      <c r="M4" s="3" t="s">
        <v>149</v>
      </c>
      <c r="N4" s="3" t="s">
        <v>150</v>
      </c>
    </row>
    <row r="5" customFormat="false" ht="15" hidden="false" customHeight="false" outlineLevel="0" collapsed="false">
      <c r="A5" s="9" t="s">
        <v>151</v>
      </c>
      <c r="B5" s="16" t="s">
        <v>152</v>
      </c>
      <c r="C5" s="8"/>
      <c r="D5" s="17" t="s">
        <v>153</v>
      </c>
      <c r="E5" s="8"/>
      <c r="F5" s="16" t="s">
        <v>154</v>
      </c>
      <c r="G5" s="8"/>
      <c r="H5" s="8"/>
      <c r="I5" s="8"/>
      <c r="J5" s="17" t="s">
        <v>155</v>
      </c>
      <c r="K5" s="17" t="s">
        <v>156</v>
      </c>
      <c r="L5" s="8"/>
      <c r="M5" s="16" t="s">
        <v>157</v>
      </c>
      <c r="N5" s="8"/>
    </row>
    <row r="6" customFormat="false" ht="15" hidden="false" customHeight="false" outlineLevel="0" collapsed="false">
      <c r="A6" s="9" t="s">
        <v>158</v>
      </c>
      <c r="B6" s="16" t="s">
        <v>154</v>
      </c>
      <c r="C6" s="8"/>
      <c r="D6" s="17" t="s">
        <v>155</v>
      </c>
      <c r="E6" s="17" t="s">
        <v>159</v>
      </c>
      <c r="F6" s="16" t="s">
        <v>157</v>
      </c>
      <c r="G6" s="17" t="s">
        <v>156</v>
      </c>
      <c r="H6" s="8"/>
      <c r="I6" s="8"/>
      <c r="J6" s="8"/>
      <c r="K6" s="8"/>
      <c r="L6" s="18" t="s">
        <v>160</v>
      </c>
      <c r="M6" s="16" t="s">
        <v>152</v>
      </c>
      <c r="N6" s="17" t="s">
        <v>153</v>
      </c>
    </row>
    <row r="7" customFormat="false" ht="15" hidden="false" customHeight="false" outlineLevel="0" collapsed="false">
      <c r="A7" s="9" t="s">
        <v>161</v>
      </c>
      <c r="B7" s="19" t="s">
        <v>162</v>
      </c>
      <c r="C7" s="19" t="s">
        <v>163</v>
      </c>
      <c r="D7" s="17" t="s">
        <v>156</v>
      </c>
      <c r="E7" s="18" t="s">
        <v>160</v>
      </c>
      <c r="F7" s="17" t="s">
        <v>153</v>
      </c>
      <c r="G7" s="17" t="s">
        <v>155</v>
      </c>
      <c r="H7" s="16" t="s">
        <v>152</v>
      </c>
      <c r="I7" s="16" t="s">
        <v>157</v>
      </c>
      <c r="J7" s="20" t="s">
        <v>164</v>
      </c>
      <c r="K7" s="20" t="s">
        <v>165</v>
      </c>
      <c r="L7" s="18" t="s">
        <v>166</v>
      </c>
      <c r="M7" s="16" t="s">
        <v>154</v>
      </c>
      <c r="N7" s="17" t="s">
        <v>159</v>
      </c>
    </row>
    <row r="8" customFormat="false" ht="15" hidden="false" customHeight="false" outlineLevel="0" collapsed="false">
      <c r="A8" s="9" t="s">
        <v>167</v>
      </c>
      <c r="B8" s="16" t="s">
        <v>157</v>
      </c>
      <c r="C8" s="20" t="s">
        <v>165</v>
      </c>
      <c r="D8" s="19" t="s">
        <v>162</v>
      </c>
      <c r="E8" s="18" t="s">
        <v>166</v>
      </c>
      <c r="F8" s="16" t="s">
        <v>152</v>
      </c>
      <c r="G8" s="18" t="s">
        <v>160</v>
      </c>
      <c r="H8" s="16" t="s">
        <v>154</v>
      </c>
      <c r="I8" s="19" t="s">
        <v>163</v>
      </c>
      <c r="J8" s="17" t="s">
        <v>153</v>
      </c>
      <c r="K8" s="17" t="s">
        <v>159</v>
      </c>
      <c r="L8" s="20" t="s">
        <v>164</v>
      </c>
      <c r="M8" s="17" t="s">
        <v>155</v>
      </c>
      <c r="N8" s="17" t="s">
        <v>156</v>
      </c>
    </row>
    <row r="9" customFormat="false" ht="15" hidden="false" customHeight="false" outlineLevel="0" collapsed="false">
      <c r="A9" s="9" t="s">
        <v>168</v>
      </c>
      <c r="B9" s="20" t="s">
        <v>164</v>
      </c>
      <c r="C9" s="20" t="s">
        <v>169</v>
      </c>
      <c r="D9" s="19" t="s">
        <v>163</v>
      </c>
      <c r="E9" s="19" t="s">
        <v>170</v>
      </c>
      <c r="F9" s="17" t="s">
        <v>159</v>
      </c>
      <c r="G9" s="20" t="s">
        <v>165</v>
      </c>
      <c r="H9" s="18" t="s">
        <v>160</v>
      </c>
      <c r="I9" s="18" t="s">
        <v>166</v>
      </c>
      <c r="J9" s="19" t="s">
        <v>162</v>
      </c>
      <c r="K9" s="17" t="s">
        <v>171</v>
      </c>
      <c r="L9" s="8"/>
      <c r="M9" s="8"/>
      <c r="N9" s="8"/>
    </row>
    <row r="10" customFormat="false" ht="15" hidden="false" customHeight="false" outlineLevel="0" collapsed="false">
      <c r="A10" s="9" t="s">
        <v>172</v>
      </c>
      <c r="B10" s="19" t="s">
        <v>170</v>
      </c>
      <c r="C10" s="21" t="s">
        <v>173</v>
      </c>
      <c r="D10" s="8"/>
      <c r="E10" s="8"/>
      <c r="F10" s="18" t="s">
        <v>166</v>
      </c>
      <c r="G10" s="20" t="s">
        <v>164</v>
      </c>
      <c r="H10" s="19" t="s">
        <v>162</v>
      </c>
      <c r="I10" s="8"/>
      <c r="J10" s="19" t="s">
        <v>163</v>
      </c>
      <c r="K10" s="20" t="s">
        <v>169</v>
      </c>
      <c r="L10" s="20" t="s">
        <v>165</v>
      </c>
      <c r="M10" s="17" t="s">
        <v>171</v>
      </c>
      <c r="N10" s="16" t="s">
        <v>174</v>
      </c>
    </row>
    <row r="11" customFormat="false" ht="15" hidden="false" customHeight="false" outlineLevel="0" collapsed="false">
      <c r="A11" s="9" t="s">
        <v>175</v>
      </c>
      <c r="B11" s="16" t="s">
        <v>176</v>
      </c>
      <c r="C11" s="21" t="s">
        <v>177</v>
      </c>
      <c r="D11" s="17" t="s">
        <v>171</v>
      </c>
      <c r="E11" s="18" t="s">
        <v>178</v>
      </c>
      <c r="F11" s="16" t="s">
        <v>174</v>
      </c>
      <c r="G11" s="16" t="s">
        <v>179</v>
      </c>
      <c r="H11" s="19" t="s">
        <v>170</v>
      </c>
      <c r="I11" s="19" t="s">
        <v>180</v>
      </c>
      <c r="J11" s="19" t="s">
        <v>181</v>
      </c>
      <c r="K11" s="20" t="s">
        <v>182</v>
      </c>
      <c r="L11" s="20" t="s">
        <v>169</v>
      </c>
      <c r="M11" s="21" t="s">
        <v>173</v>
      </c>
      <c r="N11" s="21" t="s">
        <v>183</v>
      </c>
    </row>
    <row r="12" customFormat="false" ht="15" hidden="false" customHeight="false" outlineLevel="0" collapsed="false">
      <c r="A12" s="9" t="s">
        <v>184</v>
      </c>
      <c r="B12" s="19" t="s">
        <v>180</v>
      </c>
      <c r="C12" s="16" t="s">
        <v>179</v>
      </c>
      <c r="D12" s="21" t="s">
        <v>173</v>
      </c>
      <c r="E12" s="19" t="s">
        <v>181</v>
      </c>
      <c r="F12" s="20" t="s">
        <v>169</v>
      </c>
      <c r="G12" s="17" t="s">
        <v>171</v>
      </c>
      <c r="H12" s="16" t="s">
        <v>174</v>
      </c>
      <c r="I12" s="18" t="s">
        <v>178</v>
      </c>
      <c r="J12" s="19" t="s">
        <v>170</v>
      </c>
      <c r="K12" s="21" t="s">
        <v>183</v>
      </c>
      <c r="L12" s="20" t="s">
        <v>182</v>
      </c>
      <c r="M12" s="16" t="s">
        <v>176</v>
      </c>
      <c r="N12" s="21" t="s">
        <v>177</v>
      </c>
    </row>
    <row r="13" customFormat="false" ht="15" hidden="false" customHeight="false" outlineLevel="0" collapsed="false">
      <c r="A13" s="9" t="s">
        <v>185</v>
      </c>
      <c r="B13" s="16" t="s">
        <v>174</v>
      </c>
      <c r="C13" s="19" t="s">
        <v>181</v>
      </c>
      <c r="D13" s="19" t="s">
        <v>180</v>
      </c>
      <c r="E13" s="21" t="s">
        <v>183</v>
      </c>
      <c r="F13" s="16" t="s">
        <v>176</v>
      </c>
      <c r="G13" s="20" t="s">
        <v>182</v>
      </c>
      <c r="H13" s="16" t="s">
        <v>179</v>
      </c>
      <c r="I13" s="8"/>
      <c r="J13" s="21" t="s">
        <v>173</v>
      </c>
      <c r="K13" s="21" t="s">
        <v>177</v>
      </c>
      <c r="L13" s="18" t="s">
        <v>178</v>
      </c>
      <c r="M13" s="8"/>
      <c r="N13" s="8"/>
    </row>
    <row r="14" customFormat="false" ht="15" hidden="false" customHeight="false" outlineLevel="0" collapsed="false">
      <c r="A14" s="9" t="s">
        <v>186</v>
      </c>
      <c r="B14" s="21" t="s">
        <v>183</v>
      </c>
      <c r="C14" s="20" t="s">
        <v>182</v>
      </c>
      <c r="D14" s="21" t="s">
        <v>177</v>
      </c>
      <c r="E14" s="8"/>
      <c r="F14" s="18" t="s">
        <v>178</v>
      </c>
      <c r="G14" s="8"/>
      <c r="H14" s="19" t="s">
        <v>181</v>
      </c>
      <c r="I14" s="16" t="s">
        <v>176</v>
      </c>
      <c r="J14" s="19" t="s">
        <v>180</v>
      </c>
      <c r="K14" s="8"/>
      <c r="L14" s="8"/>
      <c r="M14" s="16" t="s">
        <v>179</v>
      </c>
      <c r="N14" s="8"/>
    </row>
    <row r="15" customFormat="false" ht="15" hidden="false" customHeight="false" outlineLevel="0" collapsed="false">
      <c r="A15" s="22" t="s">
        <v>187</v>
      </c>
      <c r="B15" s="22"/>
      <c r="C15" s="22"/>
      <c r="D15" s="22"/>
      <c r="E15" s="22"/>
      <c r="F15" s="22"/>
      <c r="G15" s="22"/>
      <c r="H15" s="22"/>
      <c r="I15" s="22"/>
      <c r="J15" s="22"/>
      <c r="K15" s="22"/>
      <c r="L15" s="22"/>
      <c r="M15" s="22"/>
      <c r="N15" s="22"/>
    </row>
    <row r="16" customFormat="false" ht="15" hidden="false" customHeight="false" outlineLevel="0" collapsed="false">
      <c r="A16" s="9" t="s">
        <v>188</v>
      </c>
      <c r="B16" s="21" t="s">
        <v>189</v>
      </c>
      <c r="C16" s="21" t="s">
        <v>190</v>
      </c>
      <c r="D16" s="19" t="s">
        <v>191</v>
      </c>
      <c r="E16" s="19" t="s">
        <v>192</v>
      </c>
      <c r="F16" s="8"/>
      <c r="G16" s="8"/>
      <c r="H16" s="18" t="s">
        <v>193</v>
      </c>
      <c r="I16" s="8"/>
      <c r="J16" s="20" t="s">
        <v>194</v>
      </c>
      <c r="K16" s="8"/>
      <c r="L16" s="18" t="s">
        <v>195</v>
      </c>
      <c r="M16" s="21" t="s">
        <v>196</v>
      </c>
      <c r="N16" s="8"/>
    </row>
    <row r="17" customFormat="false" ht="15" hidden="false" customHeight="false" outlineLevel="0" collapsed="false">
      <c r="A17" s="9" t="s">
        <v>197</v>
      </c>
      <c r="B17" s="19" t="s">
        <v>191</v>
      </c>
      <c r="C17" s="20" t="s">
        <v>194</v>
      </c>
      <c r="D17" s="21" t="s">
        <v>196</v>
      </c>
      <c r="E17" s="21" t="s">
        <v>190</v>
      </c>
      <c r="F17" s="18" t="s">
        <v>193</v>
      </c>
      <c r="G17" s="16" t="s">
        <v>198</v>
      </c>
      <c r="H17" s="18" t="s">
        <v>195</v>
      </c>
      <c r="I17" s="8"/>
      <c r="J17" s="19" t="s">
        <v>192</v>
      </c>
      <c r="K17" s="21" t="s">
        <v>189</v>
      </c>
      <c r="L17" s="8"/>
      <c r="M17" s="8"/>
      <c r="N17" s="8"/>
    </row>
    <row r="18" customFormat="false" ht="15" hidden="false" customHeight="false" outlineLevel="0" collapsed="false">
      <c r="A18" s="9" t="s">
        <v>199</v>
      </c>
      <c r="B18" s="21" t="s">
        <v>196</v>
      </c>
      <c r="C18" s="21" t="s">
        <v>200</v>
      </c>
      <c r="D18" s="18" t="s">
        <v>195</v>
      </c>
      <c r="E18" s="21" t="s">
        <v>189</v>
      </c>
      <c r="F18" s="20" t="s">
        <v>194</v>
      </c>
      <c r="G18" s="8"/>
      <c r="H18" s="19" t="s">
        <v>192</v>
      </c>
      <c r="I18" s="19" t="s">
        <v>201</v>
      </c>
      <c r="J18" s="19" t="s">
        <v>191</v>
      </c>
      <c r="K18" s="21" t="s">
        <v>202</v>
      </c>
      <c r="L18" s="18" t="s">
        <v>193</v>
      </c>
      <c r="M18" s="21" t="s">
        <v>190</v>
      </c>
      <c r="N18" s="16" t="s">
        <v>198</v>
      </c>
    </row>
    <row r="19" customFormat="false" ht="15" hidden="false" customHeight="false" outlineLevel="0" collapsed="false">
      <c r="A19" s="9" t="s">
        <v>203</v>
      </c>
      <c r="B19" s="19" t="s">
        <v>192</v>
      </c>
      <c r="C19" s="21" t="s">
        <v>202</v>
      </c>
      <c r="D19" s="18" t="s">
        <v>193</v>
      </c>
      <c r="E19" s="19" t="s">
        <v>201</v>
      </c>
      <c r="F19" s="18" t="s">
        <v>195</v>
      </c>
      <c r="G19" s="18" t="s">
        <v>204</v>
      </c>
      <c r="H19" s="19" t="s">
        <v>191</v>
      </c>
      <c r="I19" s="16" t="s">
        <v>198</v>
      </c>
      <c r="J19" s="21" t="s">
        <v>196</v>
      </c>
      <c r="K19" s="21" t="s">
        <v>190</v>
      </c>
      <c r="L19" s="20" t="s">
        <v>194</v>
      </c>
      <c r="M19" s="21" t="s">
        <v>189</v>
      </c>
      <c r="N19" s="21" t="s">
        <v>200</v>
      </c>
    </row>
    <row r="20" customFormat="false" ht="15" hidden="false" customHeight="false" outlineLevel="0" collapsed="false">
      <c r="A20" s="9" t="s">
        <v>205</v>
      </c>
      <c r="B20" s="16" t="s">
        <v>198</v>
      </c>
      <c r="C20" s="19" t="s">
        <v>206</v>
      </c>
      <c r="D20" s="21" t="s">
        <v>200</v>
      </c>
      <c r="E20" s="17" t="s">
        <v>207</v>
      </c>
      <c r="F20" s="18" t="s">
        <v>208</v>
      </c>
      <c r="G20" s="17" t="s">
        <v>209</v>
      </c>
      <c r="H20" s="18" t="s">
        <v>204</v>
      </c>
      <c r="I20" s="19" t="s">
        <v>210</v>
      </c>
      <c r="J20" s="19" t="s">
        <v>201</v>
      </c>
      <c r="K20" s="20" t="s">
        <v>211</v>
      </c>
      <c r="L20" s="20" t="s">
        <v>212</v>
      </c>
      <c r="M20" s="21" t="s">
        <v>202</v>
      </c>
      <c r="N20" s="16" t="s">
        <v>213</v>
      </c>
    </row>
    <row r="21" customFormat="false" ht="15" hidden="false" customHeight="false" outlineLevel="0" collapsed="false">
      <c r="A21" s="9" t="s">
        <v>214</v>
      </c>
      <c r="B21" s="19" t="s">
        <v>201</v>
      </c>
      <c r="C21" s="16" t="s">
        <v>213</v>
      </c>
      <c r="D21" s="21" t="s">
        <v>202</v>
      </c>
      <c r="E21" s="19" t="s">
        <v>210</v>
      </c>
      <c r="F21" s="20" t="s">
        <v>211</v>
      </c>
      <c r="G21" s="17" t="s">
        <v>207</v>
      </c>
      <c r="H21" s="19" t="s">
        <v>206</v>
      </c>
      <c r="I21" s="18" t="s">
        <v>208</v>
      </c>
      <c r="J21" s="21" t="s">
        <v>200</v>
      </c>
      <c r="K21" s="20" t="s">
        <v>212</v>
      </c>
      <c r="L21" s="18" t="s">
        <v>204</v>
      </c>
      <c r="M21" s="17" t="s">
        <v>209</v>
      </c>
      <c r="N21" s="8"/>
    </row>
    <row r="22" customFormat="false" ht="15" hidden="false" customHeight="false" outlineLevel="0" collapsed="false">
      <c r="A22" s="9" t="s">
        <v>215</v>
      </c>
      <c r="B22" s="19" t="s">
        <v>210</v>
      </c>
      <c r="C22" s="20" t="s">
        <v>212</v>
      </c>
      <c r="D22" s="18" t="s">
        <v>204</v>
      </c>
      <c r="E22" s="18" t="s">
        <v>208</v>
      </c>
      <c r="F22" s="16" t="s">
        <v>213</v>
      </c>
      <c r="G22" s="16" t="s">
        <v>216</v>
      </c>
      <c r="H22" s="19" t="s">
        <v>217</v>
      </c>
      <c r="I22" s="8"/>
      <c r="J22" s="19" t="s">
        <v>206</v>
      </c>
      <c r="K22" s="17" t="s">
        <v>209</v>
      </c>
      <c r="L22" s="20" t="s">
        <v>211</v>
      </c>
      <c r="M22" s="17" t="s">
        <v>207</v>
      </c>
      <c r="N22" s="8"/>
    </row>
    <row r="23" customFormat="false" ht="15" hidden="false" customHeight="false" outlineLevel="0" collapsed="false">
      <c r="A23" s="9" t="s">
        <v>218</v>
      </c>
      <c r="B23" s="20" t="s">
        <v>211</v>
      </c>
      <c r="C23" s="19" t="s">
        <v>217</v>
      </c>
      <c r="D23" s="19" t="s">
        <v>206</v>
      </c>
      <c r="E23" s="17" t="s">
        <v>209</v>
      </c>
      <c r="F23" s="20" t="s">
        <v>212</v>
      </c>
      <c r="G23" s="16" t="s">
        <v>219</v>
      </c>
      <c r="H23" s="16" t="s">
        <v>213</v>
      </c>
      <c r="I23" s="19" t="s">
        <v>220</v>
      </c>
      <c r="J23" s="19" t="s">
        <v>210</v>
      </c>
      <c r="K23" s="17" t="s">
        <v>207</v>
      </c>
      <c r="L23" s="18" t="s">
        <v>208</v>
      </c>
      <c r="M23" s="16" t="s">
        <v>216</v>
      </c>
      <c r="N23" s="8"/>
    </row>
    <row r="24" customFormat="false" ht="15" hidden="false" customHeight="false" outlineLevel="0" collapsed="false">
      <c r="A24" s="9" t="s">
        <v>221</v>
      </c>
      <c r="B24" s="16" t="s">
        <v>216</v>
      </c>
      <c r="C24" s="21" t="s">
        <v>222</v>
      </c>
      <c r="D24" s="19" t="s">
        <v>217</v>
      </c>
      <c r="E24" s="19" t="s">
        <v>220</v>
      </c>
      <c r="F24" s="16" t="s">
        <v>223</v>
      </c>
      <c r="G24" s="20" t="s">
        <v>224</v>
      </c>
      <c r="H24" s="16" t="s">
        <v>219</v>
      </c>
      <c r="I24" s="18" t="s">
        <v>225</v>
      </c>
      <c r="J24" s="20" t="s">
        <v>226</v>
      </c>
      <c r="K24" s="17" t="s">
        <v>227</v>
      </c>
      <c r="L24" s="18" t="s">
        <v>228</v>
      </c>
      <c r="M24" s="16" t="s">
        <v>229</v>
      </c>
      <c r="N24" s="17" t="s">
        <v>230</v>
      </c>
    </row>
    <row r="25" customFormat="false" ht="15" hidden="false" customHeight="false" outlineLevel="0" collapsed="false">
      <c r="A25" s="9" t="s">
        <v>231</v>
      </c>
      <c r="B25" s="16" t="s">
        <v>229</v>
      </c>
      <c r="C25" s="20" t="s">
        <v>224</v>
      </c>
      <c r="D25" s="21" t="s">
        <v>222</v>
      </c>
      <c r="E25" s="17" t="s">
        <v>227</v>
      </c>
      <c r="F25" s="20" t="s">
        <v>226</v>
      </c>
      <c r="G25" s="17" t="s">
        <v>230</v>
      </c>
      <c r="H25" s="16" t="s">
        <v>216</v>
      </c>
      <c r="I25" s="18" t="s">
        <v>228</v>
      </c>
      <c r="J25" s="19" t="s">
        <v>217</v>
      </c>
      <c r="K25" s="19" t="s">
        <v>220</v>
      </c>
      <c r="L25" s="18" t="s">
        <v>225</v>
      </c>
      <c r="M25" s="16" t="s">
        <v>219</v>
      </c>
      <c r="N25" s="16" t="s">
        <v>223</v>
      </c>
    </row>
    <row r="26" customFormat="false" ht="15" hidden="false" customHeight="false" outlineLevel="0" collapsed="false">
      <c r="A26" s="9" t="s">
        <v>232</v>
      </c>
      <c r="B26" s="19" t="s">
        <v>220</v>
      </c>
      <c r="C26" s="16" t="s">
        <v>219</v>
      </c>
      <c r="D26" s="18" t="s">
        <v>225</v>
      </c>
      <c r="E26" s="8"/>
      <c r="F26" s="16" t="s">
        <v>229</v>
      </c>
      <c r="G26" s="18" t="s">
        <v>228</v>
      </c>
      <c r="H26" s="16" t="s">
        <v>223</v>
      </c>
      <c r="I26" s="8"/>
      <c r="J26" s="20" t="s">
        <v>224</v>
      </c>
      <c r="K26" s="17" t="s">
        <v>230</v>
      </c>
      <c r="L26" s="20" t="s">
        <v>226</v>
      </c>
      <c r="M26" s="21" t="s">
        <v>222</v>
      </c>
      <c r="N26" s="17" t="s">
        <v>227</v>
      </c>
    </row>
    <row r="27" customFormat="false" ht="15" hidden="false" customHeight="false" outlineLevel="0" collapsed="false">
      <c r="A27" s="9" t="s">
        <v>233</v>
      </c>
      <c r="B27" s="16" t="s">
        <v>223</v>
      </c>
      <c r="C27" s="20" t="s">
        <v>226</v>
      </c>
      <c r="D27" s="18" t="s">
        <v>228</v>
      </c>
      <c r="E27" s="17" t="s">
        <v>230</v>
      </c>
      <c r="F27" s="18" t="s">
        <v>225</v>
      </c>
      <c r="G27" s="17" t="s">
        <v>227</v>
      </c>
      <c r="H27" s="16" t="s">
        <v>229</v>
      </c>
      <c r="I27" s="8"/>
      <c r="J27" s="21" t="s">
        <v>222</v>
      </c>
      <c r="K27" s="8"/>
      <c r="L27" s="20" t="s">
        <v>224</v>
      </c>
      <c r="M27" s="8"/>
      <c r="N27" s="8"/>
    </row>
    <row r="29" customFormat="false" ht="15" hidden="false" customHeight="false" outlineLevel="0" collapsed="false">
      <c r="A29" s="6" t="s">
        <v>234</v>
      </c>
    </row>
    <row r="30" customFormat="false" ht="15" hidden="false" customHeight="false" outlineLevel="0" collapsed="false">
      <c r="A30" s="23" t="s">
        <v>235</v>
      </c>
      <c r="B30" s="4" t="s">
        <v>236</v>
      </c>
      <c r="C30" s="4"/>
      <c r="D30" s="4"/>
      <c r="E30" s="4"/>
      <c r="F30" s="4" t="s">
        <v>237</v>
      </c>
    </row>
    <row r="31" customFormat="false" ht="15" hidden="false" customHeight="false" outlineLevel="0" collapsed="false">
      <c r="A31" s="24" t="s">
        <v>238</v>
      </c>
      <c r="B31" s="4" t="s">
        <v>239</v>
      </c>
      <c r="C31" s="4"/>
      <c r="D31" s="4"/>
      <c r="E31" s="4"/>
      <c r="F31" s="4" t="s">
        <v>237</v>
      </c>
    </row>
    <row r="32" customFormat="false" ht="15" hidden="false" customHeight="false" outlineLevel="0" collapsed="false">
      <c r="A32" s="25" t="s">
        <v>240</v>
      </c>
      <c r="B32" s="4" t="s">
        <v>241</v>
      </c>
      <c r="C32" s="4"/>
      <c r="D32" s="4"/>
      <c r="E32" s="4"/>
      <c r="F32" s="4" t="s">
        <v>242</v>
      </c>
    </row>
    <row r="33" customFormat="false" ht="15" hidden="false" customHeight="false" outlineLevel="0" collapsed="false">
      <c r="A33" s="26" t="s">
        <v>243</v>
      </c>
      <c r="B33" s="4" t="s">
        <v>244</v>
      </c>
      <c r="C33" s="4"/>
      <c r="D33" s="4"/>
      <c r="E33" s="4"/>
      <c r="F33" s="4" t="s">
        <v>242</v>
      </c>
    </row>
    <row r="34" customFormat="false" ht="15" hidden="false" customHeight="false" outlineLevel="0" collapsed="false">
      <c r="A34" s="27" t="s">
        <v>245</v>
      </c>
      <c r="B34" s="4" t="s">
        <v>246</v>
      </c>
      <c r="C34" s="4"/>
      <c r="D34" s="4"/>
      <c r="E34" s="4"/>
      <c r="F34" s="4" t="s">
        <v>242</v>
      </c>
    </row>
    <row r="35" customFormat="false" ht="15" hidden="false" customHeight="false" outlineLevel="0" collapsed="false">
      <c r="A35" s="28" t="s">
        <v>247</v>
      </c>
      <c r="B35" s="4" t="s">
        <v>248</v>
      </c>
      <c r="C35" s="4"/>
      <c r="D35" s="4"/>
      <c r="E35" s="4"/>
      <c r="F35" s="4" t="s">
        <v>242</v>
      </c>
    </row>
  </sheetData>
  <mergeCells count="6">
    <mergeCell ref="B30:E30"/>
    <mergeCell ref="B31:E31"/>
    <mergeCell ref="B32:E32"/>
    <mergeCell ref="B33:E33"/>
    <mergeCell ref="B34:E34"/>
    <mergeCell ref="B35:E35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9"/>
    <col collapsed="false" customWidth="true" hidden="false" outlineLevel="0" max="2" min="2" style="0" width="8"/>
    <col collapsed="false" customWidth="true" hidden="false" outlineLevel="0" max="4" min="3" style="0" width="9"/>
    <col collapsed="false" customWidth="true" hidden="false" outlineLevel="0" max="8" min="5" style="0" width="28"/>
  </cols>
  <sheetData>
    <row r="1" customFormat="false" ht="17.35" hidden="false" customHeight="false" outlineLevel="0" collapsed="false">
      <c r="A1" s="1" t="s">
        <v>249</v>
      </c>
    </row>
    <row r="3" customFormat="false" ht="15" hidden="false" customHeight="false" outlineLevel="0" collapsed="false">
      <c r="A3" s="3" t="s">
        <v>250</v>
      </c>
      <c r="B3" s="3" t="s">
        <v>251</v>
      </c>
      <c r="C3" s="3" t="s">
        <v>252</v>
      </c>
      <c r="D3" s="3" t="s">
        <v>253</v>
      </c>
      <c r="E3" s="3" t="s">
        <v>254</v>
      </c>
      <c r="F3" s="3" t="s">
        <v>255</v>
      </c>
      <c r="G3" s="3" t="s">
        <v>256</v>
      </c>
      <c r="H3" s="3" t="s">
        <v>257</v>
      </c>
    </row>
    <row r="4" customFormat="false" ht="15" hidden="false" customHeight="false" outlineLevel="0" collapsed="false">
      <c r="A4" s="24" t="s">
        <v>152</v>
      </c>
      <c r="B4" s="4" t="n">
        <v>2</v>
      </c>
      <c r="C4" s="4" t="s">
        <v>258</v>
      </c>
      <c r="D4" s="4" t="s">
        <v>259</v>
      </c>
      <c r="E4" s="4" t="s">
        <v>260</v>
      </c>
      <c r="F4" s="4" t="s">
        <v>261</v>
      </c>
      <c r="G4" s="4" t="s">
        <v>262</v>
      </c>
      <c r="H4" s="4" t="s">
        <v>263</v>
      </c>
    </row>
    <row r="5" customFormat="false" ht="15" hidden="false" customHeight="false" outlineLevel="0" collapsed="false">
      <c r="A5" s="24" t="s">
        <v>154</v>
      </c>
      <c r="B5" s="4" t="n">
        <v>2</v>
      </c>
      <c r="C5" s="4" t="s">
        <v>258</v>
      </c>
      <c r="D5" s="4" t="s">
        <v>259</v>
      </c>
      <c r="E5" s="4" t="s">
        <v>264</v>
      </c>
      <c r="F5" s="4" t="s">
        <v>265</v>
      </c>
      <c r="G5" s="4" t="s">
        <v>266</v>
      </c>
      <c r="H5" s="4" t="s">
        <v>267</v>
      </c>
    </row>
    <row r="6" customFormat="false" ht="15" hidden="false" customHeight="false" outlineLevel="0" collapsed="false">
      <c r="A6" s="24" t="s">
        <v>157</v>
      </c>
      <c r="B6" s="4" t="n">
        <v>2</v>
      </c>
      <c r="C6" s="4" t="s">
        <v>258</v>
      </c>
      <c r="D6" s="4" t="s">
        <v>259</v>
      </c>
      <c r="E6" s="4" t="s">
        <v>268</v>
      </c>
      <c r="F6" s="4" t="s">
        <v>269</v>
      </c>
      <c r="G6" s="4" t="s">
        <v>262</v>
      </c>
      <c r="H6" s="4" t="s">
        <v>270</v>
      </c>
    </row>
    <row r="7" customFormat="false" ht="15" hidden="false" customHeight="false" outlineLevel="0" collapsed="false">
      <c r="A7" s="28" t="s">
        <v>153</v>
      </c>
      <c r="B7" s="4" t="n">
        <v>6</v>
      </c>
      <c r="C7" s="4" t="s">
        <v>258</v>
      </c>
      <c r="D7" s="4" t="s">
        <v>259</v>
      </c>
      <c r="E7" s="4" t="s">
        <v>271</v>
      </c>
      <c r="F7" s="4" t="s">
        <v>261</v>
      </c>
      <c r="G7" s="4" t="s">
        <v>272</v>
      </c>
      <c r="H7" s="4" t="s">
        <v>273</v>
      </c>
    </row>
    <row r="8" customFormat="false" ht="15" hidden="false" customHeight="false" outlineLevel="0" collapsed="false">
      <c r="A8" s="28" t="s">
        <v>155</v>
      </c>
      <c r="B8" s="4" t="n">
        <v>6</v>
      </c>
      <c r="C8" s="4" t="s">
        <v>258</v>
      </c>
      <c r="D8" s="4" t="s">
        <v>259</v>
      </c>
      <c r="E8" s="4" t="s">
        <v>274</v>
      </c>
      <c r="F8" s="4" t="s">
        <v>275</v>
      </c>
      <c r="G8" s="4" t="s">
        <v>272</v>
      </c>
      <c r="H8" s="4" t="s">
        <v>276</v>
      </c>
    </row>
    <row r="9" customFormat="false" ht="15" hidden="false" customHeight="false" outlineLevel="0" collapsed="false">
      <c r="A9" s="28" t="s">
        <v>156</v>
      </c>
      <c r="B9" s="4" t="n">
        <v>6</v>
      </c>
      <c r="C9" s="4" t="s">
        <v>258</v>
      </c>
      <c r="D9" s="4" t="s">
        <v>259</v>
      </c>
      <c r="E9" s="4" t="s">
        <v>274</v>
      </c>
      <c r="F9" s="4" t="s">
        <v>269</v>
      </c>
      <c r="G9" s="4" t="s">
        <v>277</v>
      </c>
      <c r="H9" s="4" t="s">
        <v>276</v>
      </c>
    </row>
    <row r="10" customFormat="false" ht="15" hidden="false" customHeight="false" outlineLevel="0" collapsed="false">
      <c r="A10" s="25" t="s">
        <v>160</v>
      </c>
      <c r="B10" s="4" t="n">
        <v>3</v>
      </c>
      <c r="C10" s="4" t="s">
        <v>278</v>
      </c>
      <c r="D10" s="4" t="s">
        <v>279</v>
      </c>
      <c r="E10" s="4" t="s">
        <v>280</v>
      </c>
      <c r="F10" s="4" t="s">
        <v>277</v>
      </c>
      <c r="G10" s="4" t="s">
        <v>263</v>
      </c>
      <c r="H10" s="4" t="s">
        <v>281</v>
      </c>
    </row>
    <row r="11" customFormat="false" ht="15" hidden="false" customHeight="false" outlineLevel="0" collapsed="false">
      <c r="A11" s="28" t="s">
        <v>159</v>
      </c>
      <c r="B11" s="4" t="n">
        <v>6</v>
      </c>
      <c r="C11" s="4" t="s">
        <v>278</v>
      </c>
      <c r="D11" s="4" t="s">
        <v>279</v>
      </c>
      <c r="E11" s="4" t="s">
        <v>275</v>
      </c>
      <c r="F11" s="4" t="s">
        <v>266</v>
      </c>
      <c r="G11" s="4" t="s">
        <v>273</v>
      </c>
      <c r="H11" s="4" t="s">
        <v>282</v>
      </c>
    </row>
    <row r="12" customFormat="false" ht="15" hidden="false" customHeight="false" outlineLevel="0" collapsed="false">
      <c r="A12" s="23" t="s">
        <v>162</v>
      </c>
      <c r="B12" s="4" t="n">
        <v>1</v>
      </c>
      <c r="C12" s="4" t="s">
        <v>283</v>
      </c>
      <c r="D12" s="4" t="s">
        <v>284</v>
      </c>
      <c r="E12" s="4" t="s">
        <v>285</v>
      </c>
      <c r="F12" s="4" t="s">
        <v>286</v>
      </c>
      <c r="G12" s="4" t="s">
        <v>287</v>
      </c>
      <c r="H12" s="4" t="s">
        <v>288</v>
      </c>
    </row>
    <row r="13" customFormat="false" ht="15" hidden="false" customHeight="false" outlineLevel="0" collapsed="false">
      <c r="A13" s="23" t="s">
        <v>163</v>
      </c>
      <c r="B13" s="4" t="n">
        <v>1</v>
      </c>
      <c r="C13" s="4" t="s">
        <v>283</v>
      </c>
      <c r="D13" s="4" t="s">
        <v>284</v>
      </c>
      <c r="E13" s="4" t="s">
        <v>285</v>
      </c>
      <c r="F13" s="4" t="s">
        <v>267</v>
      </c>
      <c r="G13" s="4" t="s">
        <v>289</v>
      </c>
      <c r="H13" s="4" t="s">
        <v>290</v>
      </c>
    </row>
    <row r="14" customFormat="false" ht="15" hidden="false" customHeight="false" outlineLevel="0" collapsed="false">
      <c r="A14" s="25" t="s">
        <v>166</v>
      </c>
      <c r="B14" s="4" t="n">
        <v>3</v>
      </c>
      <c r="C14" s="4" t="s">
        <v>283</v>
      </c>
      <c r="D14" s="4" t="s">
        <v>284</v>
      </c>
      <c r="E14" s="4" t="s">
        <v>291</v>
      </c>
      <c r="F14" s="4" t="s">
        <v>286</v>
      </c>
      <c r="G14" s="4" t="s">
        <v>281</v>
      </c>
      <c r="H14" s="4" t="s">
        <v>292</v>
      </c>
    </row>
    <row r="15" customFormat="false" ht="15" hidden="false" customHeight="false" outlineLevel="0" collapsed="false">
      <c r="A15" s="27" t="s">
        <v>164</v>
      </c>
      <c r="B15" s="4" t="n">
        <v>5</v>
      </c>
      <c r="C15" s="4" t="s">
        <v>283</v>
      </c>
      <c r="D15" s="4" t="s">
        <v>284</v>
      </c>
      <c r="E15" s="4" t="s">
        <v>293</v>
      </c>
      <c r="F15" s="4" t="s">
        <v>294</v>
      </c>
      <c r="G15" s="4" t="s">
        <v>295</v>
      </c>
      <c r="H15" s="4" t="s">
        <v>292</v>
      </c>
    </row>
    <row r="16" customFormat="false" ht="15" hidden="false" customHeight="false" outlineLevel="0" collapsed="false">
      <c r="A16" s="27" t="s">
        <v>165</v>
      </c>
      <c r="B16" s="4" t="n">
        <v>5</v>
      </c>
      <c r="C16" s="4" t="s">
        <v>283</v>
      </c>
      <c r="D16" s="4" t="s">
        <v>284</v>
      </c>
      <c r="E16" s="4" t="s">
        <v>293</v>
      </c>
      <c r="F16" s="4" t="s">
        <v>270</v>
      </c>
      <c r="G16" s="4" t="s">
        <v>282</v>
      </c>
      <c r="H16" s="4" t="s">
        <v>296</v>
      </c>
    </row>
    <row r="17" customFormat="false" ht="15" hidden="false" customHeight="false" outlineLevel="0" collapsed="false">
      <c r="A17" s="23" t="s">
        <v>170</v>
      </c>
      <c r="B17" s="4" t="n">
        <v>1</v>
      </c>
      <c r="C17" s="4" t="s">
        <v>259</v>
      </c>
      <c r="D17" s="4" t="s">
        <v>297</v>
      </c>
      <c r="E17" s="4" t="s">
        <v>289</v>
      </c>
      <c r="F17" s="4" t="s">
        <v>298</v>
      </c>
      <c r="G17" s="4" t="s">
        <v>299</v>
      </c>
      <c r="H17" s="4" t="s">
        <v>300</v>
      </c>
    </row>
    <row r="18" customFormat="false" ht="15" hidden="false" customHeight="false" outlineLevel="0" collapsed="false">
      <c r="A18" s="27" t="s">
        <v>169</v>
      </c>
      <c r="B18" s="4" t="n">
        <v>5</v>
      </c>
      <c r="C18" s="4" t="s">
        <v>259</v>
      </c>
      <c r="D18" s="4" t="s">
        <v>297</v>
      </c>
      <c r="E18" s="4" t="s">
        <v>295</v>
      </c>
      <c r="F18" s="4" t="s">
        <v>290</v>
      </c>
      <c r="G18" s="4" t="s">
        <v>301</v>
      </c>
      <c r="H18" s="4" t="s">
        <v>302</v>
      </c>
    </row>
    <row r="19" customFormat="false" ht="15" hidden="false" customHeight="false" outlineLevel="0" collapsed="false">
      <c r="A19" s="28" t="s">
        <v>171</v>
      </c>
      <c r="B19" s="4" t="n">
        <v>6</v>
      </c>
      <c r="C19" s="4" t="s">
        <v>259</v>
      </c>
      <c r="D19" s="4" t="s">
        <v>297</v>
      </c>
      <c r="E19" s="4" t="s">
        <v>287</v>
      </c>
      <c r="F19" s="4" t="s">
        <v>303</v>
      </c>
      <c r="G19" s="4" t="s">
        <v>304</v>
      </c>
      <c r="H19" s="4" t="s">
        <v>302</v>
      </c>
    </row>
    <row r="20" customFormat="false" ht="15" hidden="false" customHeight="false" outlineLevel="0" collapsed="false">
      <c r="A20" s="24" t="s">
        <v>174</v>
      </c>
      <c r="B20" s="4" t="n">
        <v>2</v>
      </c>
      <c r="C20" s="4" t="s">
        <v>279</v>
      </c>
      <c r="D20" s="4" t="s">
        <v>305</v>
      </c>
      <c r="E20" s="4" t="s">
        <v>303</v>
      </c>
      <c r="F20" s="4" t="s">
        <v>306</v>
      </c>
      <c r="G20" s="4" t="s">
        <v>307</v>
      </c>
      <c r="H20" s="4" t="s">
        <v>308</v>
      </c>
    </row>
    <row r="21" customFormat="false" ht="15" hidden="false" customHeight="false" outlineLevel="0" collapsed="false">
      <c r="A21" s="26" t="s">
        <v>173</v>
      </c>
      <c r="B21" s="4" t="n">
        <v>4</v>
      </c>
      <c r="C21" s="4" t="s">
        <v>279</v>
      </c>
      <c r="D21" s="4" t="s">
        <v>305</v>
      </c>
      <c r="E21" s="4" t="s">
        <v>298</v>
      </c>
      <c r="F21" s="4" t="s">
        <v>309</v>
      </c>
      <c r="G21" s="4" t="s">
        <v>310</v>
      </c>
      <c r="H21" s="4" t="s">
        <v>311</v>
      </c>
    </row>
    <row r="22" customFormat="false" ht="15" hidden="false" customHeight="false" outlineLevel="0" collapsed="false">
      <c r="A22" s="23" t="s">
        <v>180</v>
      </c>
      <c r="B22" s="4" t="n">
        <v>1</v>
      </c>
      <c r="C22" s="4" t="s">
        <v>284</v>
      </c>
      <c r="D22" s="4" t="s">
        <v>312</v>
      </c>
      <c r="E22" s="4" t="s">
        <v>299</v>
      </c>
      <c r="F22" s="4" t="s">
        <v>313</v>
      </c>
      <c r="G22" s="4" t="s">
        <v>314</v>
      </c>
      <c r="H22" s="4" t="s">
        <v>315</v>
      </c>
    </row>
    <row r="23" customFormat="false" ht="15" hidden="false" customHeight="false" outlineLevel="0" collapsed="false">
      <c r="A23" s="23" t="s">
        <v>181</v>
      </c>
      <c r="B23" s="4" t="n">
        <v>1</v>
      </c>
      <c r="C23" s="4" t="s">
        <v>284</v>
      </c>
      <c r="D23" s="4" t="s">
        <v>312</v>
      </c>
      <c r="E23" s="4" t="s">
        <v>316</v>
      </c>
      <c r="F23" s="4" t="s">
        <v>310</v>
      </c>
      <c r="G23" s="4" t="s">
        <v>308</v>
      </c>
      <c r="H23" s="4" t="s">
        <v>317</v>
      </c>
    </row>
    <row r="24" customFormat="false" ht="15" hidden="false" customHeight="false" outlineLevel="0" collapsed="false">
      <c r="A24" s="24" t="s">
        <v>176</v>
      </c>
      <c r="B24" s="4" t="n">
        <v>2</v>
      </c>
      <c r="C24" s="4" t="s">
        <v>284</v>
      </c>
      <c r="D24" s="4" t="s">
        <v>312</v>
      </c>
      <c r="E24" s="4" t="s">
        <v>318</v>
      </c>
      <c r="F24" s="4" t="s">
        <v>319</v>
      </c>
      <c r="G24" s="4" t="s">
        <v>320</v>
      </c>
      <c r="H24" s="4" t="s">
        <v>317</v>
      </c>
    </row>
    <row r="25" customFormat="false" ht="15" hidden="false" customHeight="false" outlineLevel="0" collapsed="false">
      <c r="A25" s="24" t="s">
        <v>179</v>
      </c>
      <c r="B25" s="4" t="n">
        <v>2</v>
      </c>
      <c r="C25" s="4" t="s">
        <v>284</v>
      </c>
      <c r="D25" s="4" t="s">
        <v>312</v>
      </c>
      <c r="E25" s="4" t="s">
        <v>306</v>
      </c>
      <c r="F25" s="4" t="s">
        <v>313</v>
      </c>
      <c r="G25" s="4" t="s">
        <v>321</v>
      </c>
      <c r="H25" s="4" t="s">
        <v>322</v>
      </c>
    </row>
    <row r="26" customFormat="false" ht="15" hidden="false" customHeight="false" outlineLevel="0" collapsed="false">
      <c r="A26" s="25" t="s">
        <v>178</v>
      </c>
      <c r="B26" s="4" t="n">
        <v>3</v>
      </c>
      <c r="C26" s="4" t="s">
        <v>284</v>
      </c>
      <c r="D26" s="4" t="s">
        <v>312</v>
      </c>
      <c r="E26" s="4" t="s">
        <v>304</v>
      </c>
      <c r="F26" s="4" t="s">
        <v>307</v>
      </c>
      <c r="G26" s="4" t="s">
        <v>323</v>
      </c>
      <c r="H26" s="4" t="s">
        <v>324</v>
      </c>
    </row>
    <row r="27" customFormat="false" ht="15" hidden="false" customHeight="false" outlineLevel="0" collapsed="false">
      <c r="A27" s="26" t="s">
        <v>177</v>
      </c>
      <c r="B27" s="4" t="n">
        <v>4</v>
      </c>
      <c r="C27" s="4" t="s">
        <v>284</v>
      </c>
      <c r="D27" s="4" t="s">
        <v>312</v>
      </c>
      <c r="E27" s="4" t="s">
        <v>318</v>
      </c>
      <c r="F27" s="4" t="s">
        <v>319</v>
      </c>
      <c r="G27" s="4" t="s">
        <v>311</v>
      </c>
      <c r="H27" s="4" t="s">
        <v>325</v>
      </c>
    </row>
    <row r="28" customFormat="false" ht="15" hidden="false" customHeight="false" outlineLevel="0" collapsed="false">
      <c r="A28" s="26" t="s">
        <v>183</v>
      </c>
      <c r="B28" s="4" t="n">
        <v>4</v>
      </c>
      <c r="C28" s="4" t="s">
        <v>284</v>
      </c>
      <c r="D28" s="4" t="s">
        <v>312</v>
      </c>
      <c r="E28" s="4" t="s">
        <v>309</v>
      </c>
      <c r="F28" s="4" t="s">
        <v>300</v>
      </c>
      <c r="G28" s="4" t="s">
        <v>314</v>
      </c>
      <c r="H28" s="4" t="s">
        <v>326</v>
      </c>
    </row>
    <row r="29" customFormat="false" ht="15" hidden="false" customHeight="false" outlineLevel="0" collapsed="false">
      <c r="A29" s="27" t="s">
        <v>182</v>
      </c>
      <c r="B29" s="4" t="n">
        <v>5</v>
      </c>
      <c r="C29" s="4" t="s">
        <v>284</v>
      </c>
      <c r="D29" s="4" t="s">
        <v>312</v>
      </c>
      <c r="E29" s="4" t="s">
        <v>316</v>
      </c>
      <c r="F29" s="4" t="s">
        <v>327</v>
      </c>
      <c r="G29" s="4" t="s">
        <v>320</v>
      </c>
      <c r="H29" s="4" t="s">
        <v>326</v>
      </c>
    </row>
    <row r="30" customFormat="false" ht="15" hidden="false" customHeight="false" outlineLevel="0" collapsed="false">
      <c r="A30" s="23" t="s">
        <v>191</v>
      </c>
      <c r="B30" s="4" t="n">
        <v>1</v>
      </c>
      <c r="C30" s="4" t="s">
        <v>328</v>
      </c>
      <c r="D30" s="4" t="s">
        <v>329</v>
      </c>
      <c r="E30" s="4" t="s">
        <v>330</v>
      </c>
      <c r="F30" s="4" t="s">
        <v>331</v>
      </c>
      <c r="G30" s="4" t="s">
        <v>332</v>
      </c>
      <c r="H30" s="4" t="s">
        <v>333</v>
      </c>
    </row>
    <row r="31" customFormat="false" ht="15" hidden="false" customHeight="false" outlineLevel="0" collapsed="false">
      <c r="A31" s="23" t="s">
        <v>192</v>
      </c>
      <c r="B31" s="4" t="n">
        <v>1</v>
      </c>
      <c r="C31" s="4" t="s">
        <v>328</v>
      </c>
      <c r="D31" s="4" t="s">
        <v>329</v>
      </c>
      <c r="E31" s="4" t="s">
        <v>330</v>
      </c>
      <c r="F31" s="4" t="s">
        <v>334</v>
      </c>
      <c r="G31" s="4" t="s">
        <v>335</v>
      </c>
      <c r="H31" s="4" t="s">
        <v>336</v>
      </c>
    </row>
    <row r="32" customFormat="false" ht="15" hidden="false" customHeight="false" outlineLevel="0" collapsed="false">
      <c r="A32" s="25" t="s">
        <v>193</v>
      </c>
      <c r="B32" s="4" t="n">
        <v>3</v>
      </c>
      <c r="C32" s="4" t="s">
        <v>328</v>
      </c>
      <c r="D32" s="4" t="s">
        <v>329</v>
      </c>
      <c r="E32" s="4" t="s">
        <v>337</v>
      </c>
      <c r="F32" s="4" t="s">
        <v>338</v>
      </c>
      <c r="G32" s="4" t="s">
        <v>339</v>
      </c>
      <c r="H32" s="4" t="s">
        <v>340</v>
      </c>
    </row>
    <row r="33" customFormat="false" ht="15" hidden="false" customHeight="false" outlineLevel="0" collapsed="false">
      <c r="A33" s="25" t="s">
        <v>195</v>
      </c>
      <c r="B33" s="4" t="n">
        <v>3</v>
      </c>
      <c r="C33" s="4" t="s">
        <v>328</v>
      </c>
      <c r="D33" s="4" t="s">
        <v>329</v>
      </c>
      <c r="E33" s="4" t="s">
        <v>341</v>
      </c>
      <c r="F33" s="4" t="s">
        <v>342</v>
      </c>
      <c r="G33" s="4" t="s">
        <v>343</v>
      </c>
      <c r="H33" s="4" t="s">
        <v>344</v>
      </c>
    </row>
    <row r="34" customFormat="false" ht="15" hidden="false" customHeight="false" outlineLevel="0" collapsed="false">
      <c r="A34" s="26" t="s">
        <v>189</v>
      </c>
      <c r="B34" s="4" t="n">
        <v>4</v>
      </c>
      <c r="C34" s="4" t="s">
        <v>328</v>
      </c>
      <c r="D34" s="4" t="s">
        <v>329</v>
      </c>
      <c r="E34" s="4" t="s">
        <v>345</v>
      </c>
      <c r="F34" s="4" t="s">
        <v>334</v>
      </c>
      <c r="G34" s="4" t="s">
        <v>343</v>
      </c>
      <c r="H34" s="4" t="s">
        <v>346</v>
      </c>
    </row>
    <row r="35" customFormat="false" ht="15" hidden="false" customHeight="false" outlineLevel="0" collapsed="false">
      <c r="A35" s="26" t="s">
        <v>196</v>
      </c>
      <c r="B35" s="4" t="n">
        <v>4</v>
      </c>
      <c r="C35" s="4" t="s">
        <v>328</v>
      </c>
      <c r="D35" s="4" t="s">
        <v>329</v>
      </c>
      <c r="E35" s="4" t="s">
        <v>347</v>
      </c>
      <c r="F35" s="4" t="s">
        <v>348</v>
      </c>
      <c r="G35" s="4" t="s">
        <v>349</v>
      </c>
      <c r="H35" s="4" t="s">
        <v>350</v>
      </c>
    </row>
    <row r="36" customFormat="false" ht="15" hidden="false" customHeight="false" outlineLevel="0" collapsed="false">
      <c r="A36" s="26" t="s">
        <v>190</v>
      </c>
      <c r="B36" s="4" t="n">
        <v>4</v>
      </c>
      <c r="C36" s="4" t="s">
        <v>328</v>
      </c>
      <c r="D36" s="4" t="s">
        <v>329</v>
      </c>
      <c r="E36" s="4" t="s">
        <v>345</v>
      </c>
      <c r="F36" s="4" t="s">
        <v>348</v>
      </c>
      <c r="G36" s="4" t="s">
        <v>351</v>
      </c>
      <c r="H36" s="4" t="s">
        <v>350</v>
      </c>
    </row>
    <row r="37" customFormat="false" ht="15" hidden="false" customHeight="false" outlineLevel="0" collapsed="false">
      <c r="A37" s="27" t="s">
        <v>194</v>
      </c>
      <c r="B37" s="4" t="n">
        <v>5</v>
      </c>
      <c r="C37" s="4" t="s">
        <v>328</v>
      </c>
      <c r="D37" s="4" t="s">
        <v>329</v>
      </c>
      <c r="E37" s="4" t="s">
        <v>352</v>
      </c>
      <c r="F37" s="4" t="s">
        <v>331</v>
      </c>
      <c r="G37" s="4" t="s">
        <v>353</v>
      </c>
      <c r="H37" s="4" t="s">
        <v>354</v>
      </c>
    </row>
    <row r="38" customFormat="false" ht="15" hidden="false" customHeight="false" outlineLevel="0" collapsed="false">
      <c r="A38" s="24" t="s">
        <v>198</v>
      </c>
      <c r="B38" s="4" t="n">
        <v>2</v>
      </c>
      <c r="C38" s="4" t="s">
        <v>355</v>
      </c>
      <c r="D38" s="4" t="s">
        <v>356</v>
      </c>
      <c r="E38" s="4" t="s">
        <v>338</v>
      </c>
      <c r="F38" s="4" t="s">
        <v>351</v>
      </c>
      <c r="G38" s="4" t="s">
        <v>333</v>
      </c>
      <c r="H38" s="4" t="s">
        <v>357</v>
      </c>
    </row>
    <row r="39" customFormat="false" ht="15" hidden="false" customHeight="false" outlineLevel="0" collapsed="false">
      <c r="A39" s="23" t="s">
        <v>201</v>
      </c>
      <c r="B39" s="4" t="n">
        <v>1</v>
      </c>
      <c r="C39" s="4" t="s">
        <v>358</v>
      </c>
      <c r="D39" s="4" t="s">
        <v>359</v>
      </c>
      <c r="E39" s="4" t="s">
        <v>335</v>
      </c>
      <c r="F39" s="4" t="s">
        <v>340</v>
      </c>
      <c r="G39" s="4" t="s">
        <v>360</v>
      </c>
      <c r="H39" s="4" t="s">
        <v>361</v>
      </c>
    </row>
    <row r="40" customFormat="false" ht="15" hidden="false" customHeight="false" outlineLevel="0" collapsed="false">
      <c r="A40" s="26" t="s">
        <v>200</v>
      </c>
      <c r="B40" s="4" t="n">
        <v>4</v>
      </c>
      <c r="C40" s="4" t="s">
        <v>358</v>
      </c>
      <c r="D40" s="4" t="s">
        <v>359</v>
      </c>
      <c r="E40" s="4" t="s">
        <v>349</v>
      </c>
      <c r="F40" s="4" t="s">
        <v>346</v>
      </c>
      <c r="G40" s="4" t="s">
        <v>362</v>
      </c>
      <c r="H40" s="4" t="s">
        <v>363</v>
      </c>
    </row>
    <row r="41" customFormat="false" ht="15" hidden="false" customHeight="false" outlineLevel="0" collapsed="false">
      <c r="A41" s="26" t="s">
        <v>202</v>
      </c>
      <c r="B41" s="4" t="n">
        <v>4</v>
      </c>
      <c r="C41" s="4" t="s">
        <v>358</v>
      </c>
      <c r="D41" s="4" t="s">
        <v>359</v>
      </c>
      <c r="E41" s="4" t="s">
        <v>332</v>
      </c>
      <c r="F41" s="4" t="s">
        <v>336</v>
      </c>
      <c r="G41" s="4" t="s">
        <v>364</v>
      </c>
      <c r="H41" s="4" t="s">
        <v>365</v>
      </c>
    </row>
    <row r="42" customFormat="false" ht="15" hidden="false" customHeight="false" outlineLevel="0" collapsed="false">
      <c r="A42" s="25" t="s">
        <v>204</v>
      </c>
      <c r="B42" s="4" t="n">
        <v>3</v>
      </c>
      <c r="C42" s="4" t="s">
        <v>366</v>
      </c>
      <c r="D42" s="4" t="s">
        <v>367</v>
      </c>
      <c r="E42" s="4" t="s">
        <v>344</v>
      </c>
      <c r="F42" s="4" t="s">
        <v>368</v>
      </c>
      <c r="G42" s="4" t="s">
        <v>369</v>
      </c>
      <c r="H42" s="4" t="s">
        <v>370</v>
      </c>
    </row>
    <row r="43" customFormat="false" ht="15" hidden="false" customHeight="false" outlineLevel="0" collapsed="false">
      <c r="A43" s="23" t="s">
        <v>206</v>
      </c>
      <c r="B43" s="4" t="n">
        <v>1</v>
      </c>
      <c r="C43" s="4" t="s">
        <v>329</v>
      </c>
      <c r="D43" s="4" t="s">
        <v>371</v>
      </c>
      <c r="E43" s="4" t="s">
        <v>357</v>
      </c>
      <c r="F43" s="4" t="s">
        <v>372</v>
      </c>
      <c r="G43" s="4" t="s">
        <v>373</v>
      </c>
      <c r="H43" s="4" t="s">
        <v>374</v>
      </c>
    </row>
    <row r="44" customFormat="false" ht="15" hidden="false" customHeight="false" outlineLevel="0" collapsed="false">
      <c r="A44" s="23" t="s">
        <v>210</v>
      </c>
      <c r="B44" s="4" t="n">
        <v>1</v>
      </c>
      <c r="C44" s="4" t="s">
        <v>329</v>
      </c>
      <c r="D44" s="4" t="s">
        <v>371</v>
      </c>
      <c r="E44" s="4" t="s">
        <v>368</v>
      </c>
      <c r="F44" s="4" t="s">
        <v>365</v>
      </c>
      <c r="G44" s="4" t="s">
        <v>375</v>
      </c>
      <c r="H44" s="4" t="s">
        <v>376</v>
      </c>
    </row>
    <row r="45" customFormat="false" ht="15" hidden="false" customHeight="false" outlineLevel="0" collapsed="false">
      <c r="A45" s="24" t="s">
        <v>213</v>
      </c>
      <c r="B45" s="4" t="n">
        <v>2</v>
      </c>
      <c r="C45" s="4" t="s">
        <v>329</v>
      </c>
      <c r="D45" s="4" t="s">
        <v>371</v>
      </c>
      <c r="E45" s="4" t="s">
        <v>364</v>
      </c>
      <c r="F45" s="4" t="s">
        <v>361</v>
      </c>
      <c r="G45" s="4" t="s">
        <v>377</v>
      </c>
      <c r="H45" s="4" t="s">
        <v>378</v>
      </c>
    </row>
    <row r="46" customFormat="false" ht="15" hidden="false" customHeight="false" outlineLevel="0" collapsed="false">
      <c r="A46" s="25" t="s">
        <v>208</v>
      </c>
      <c r="B46" s="4" t="n">
        <v>3</v>
      </c>
      <c r="C46" s="4" t="s">
        <v>329</v>
      </c>
      <c r="D46" s="4" t="s">
        <v>371</v>
      </c>
      <c r="E46" s="4" t="s">
        <v>379</v>
      </c>
      <c r="F46" s="4" t="s">
        <v>372</v>
      </c>
      <c r="G46" s="4" t="s">
        <v>370</v>
      </c>
      <c r="H46" s="4" t="s">
        <v>380</v>
      </c>
    </row>
    <row r="47" customFormat="false" ht="15" hidden="false" customHeight="false" outlineLevel="0" collapsed="false">
      <c r="A47" s="27" t="s">
        <v>212</v>
      </c>
      <c r="B47" s="4" t="n">
        <v>5</v>
      </c>
      <c r="C47" s="4" t="s">
        <v>329</v>
      </c>
      <c r="D47" s="4" t="s">
        <v>371</v>
      </c>
      <c r="E47" s="4" t="s">
        <v>381</v>
      </c>
      <c r="F47" s="4" t="s">
        <v>363</v>
      </c>
      <c r="G47" s="4" t="s">
        <v>375</v>
      </c>
      <c r="H47" s="4" t="s">
        <v>382</v>
      </c>
    </row>
    <row r="48" customFormat="false" ht="15" hidden="false" customHeight="false" outlineLevel="0" collapsed="false">
      <c r="A48" s="27" t="s">
        <v>211</v>
      </c>
      <c r="B48" s="4" t="n">
        <v>5</v>
      </c>
      <c r="C48" s="4" t="s">
        <v>329</v>
      </c>
      <c r="D48" s="4" t="s">
        <v>371</v>
      </c>
      <c r="E48" s="4" t="s">
        <v>360</v>
      </c>
      <c r="F48" s="4" t="s">
        <v>383</v>
      </c>
      <c r="G48" s="4" t="s">
        <v>384</v>
      </c>
      <c r="H48" s="4" t="s">
        <v>385</v>
      </c>
    </row>
    <row r="49" customFormat="false" ht="15" hidden="false" customHeight="false" outlineLevel="0" collapsed="false">
      <c r="A49" s="28" t="s">
        <v>207</v>
      </c>
      <c r="B49" s="4" t="n">
        <v>6</v>
      </c>
      <c r="C49" s="4" t="s">
        <v>329</v>
      </c>
      <c r="D49" s="4" t="s">
        <v>371</v>
      </c>
      <c r="E49" s="4" t="s">
        <v>362</v>
      </c>
      <c r="F49" s="4" t="s">
        <v>383</v>
      </c>
      <c r="G49" s="4" t="s">
        <v>386</v>
      </c>
      <c r="H49" s="4" t="s">
        <v>376</v>
      </c>
    </row>
    <row r="50" customFormat="false" ht="15" hidden="false" customHeight="false" outlineLevel="0" collapsed="false">
      <c r="A50" s="28" t="s">
        <v>209</v>
      </c>
      <c r="B50" s="4" t="n">
        <v>6</v>
      </c>
      <c r="C50" s="4" t="s">
        <v>329</v>
      </c>
      <c r="D50" s="4" t="s">
        <v>371</v>
      </c>
      <c r="E50" s="4" t="s">
        <v>379</v>
      </c>
      <c r="F50" s="4" t="s">
        <v>387</v>
      </c>
      <c r="G50" s="4" t="s">
        <v>373</v>
      </c>
      <c r="H50" s="4" t="s">
        <v>374</v>
      </c>
    </row>
    <row r="51" customFormat="false" ht="15" hidden="false" customHeight="false" outlineLevel="0" collapsed="false">
      <c r="A51" s="23" t="s">
        <v>217</v>
      </c>
      <c r="B51" s="4" t="n">
        <v>1</v>
      </c>
      <c r="C51" s="4" t="s">
        <v>359</v>
      </c>
      <c r="D51" s="4" t="s">
        <v>388</v>
      </c>
      <c r="E51" s="4" t="s">
        <v>389</v>
      </c>
      <c r="F51" s="4" t="s">
        <v>385</v>
      </c>
      <c r="G51" s="4" t="s">
        <v>390</v>
      </c>
      <c r="H51" s="4" t="s">
        <v>391</v>
      </c>
    </row>
    <row r="52" customFormat="false" ht="15" hidden="false" customHeight="false" outlineLevel="0" collapsed="false">
      <c r="A52" s="24" t="s">
        <v>216</v>
      </c>
      <c r="B52" s="4" t="n">
        <v>2</v>
      </c>
      <c r="C52" s="4" t="s">
        <v>359</v>
      </c>
      <c r="D52" s="4" t="s">
        <v>388</v>
      </c>
      <c r="E52" s="4" t="s">
        <v>377</v>
      </c>
      <c r="F52" s="4" t="s">
        <v>392</v>
      </c>
      <c r="G52" s="4" t="s">
        <v>393</v>
      </c>
      <c r="H52" s="4" t="s">
        <v>394</v>
      </c>
    </row>
    <row r="53" customFormat="false" ht="15" hidden="false" customHeight="false" outlineLevel="0" collapsed="false">
      <c r="A53" s="23" t="s">
        <v>220</v>
      </c>
      <c r="B53" s="4" t="n">
        <v>1</v>
      </c>
      <c r="C53" s="4" t="s">
        <v>367</v>
      </c>
      <c r="D53" s="4" t="s">
        <v>395</v>
      </c>
      <c r="E53" s="4" t="s">
        <v>378</v>
      </c>
      <c r="F53" s="4" t="s">
        <v>390</v>
      </c>
      <c r="G53" s="4" t="s">
        <v>391</v>
      </c>
      <c r="H53" s="4" t="s">
        <v>396</v>
      </c>
    </row>
    <row r="54" customFormat="false" ht="15" hidden="false" customHeight="false" outlineLevel="0" collapsed="false">
      <c r="A54" s="24" t="s">
        <v>219</v>
      </c>
      <c r="B54" s="4" t="n">
        <v>2</v>
      </c>
      <c r="C54" s="4" t="s">
        <v>367</v>
      </c>
      <c r="D54" s="4" t="s">
        <v>395</v>
      </c>
      <c r="E54" s="4" t="s">
        <v>382</v>
      </c>
      <c r="F54" s="4" t="s">
        <v>397</v>
      </c>
      <c r="G54" s="4" t="s">
        <v>398</v>
      </c>
      <c r="H54" s="4" t="s">
        <v>396</v>
      </c>
    </row>
    <row r="55" customFormat="false" ht="15" hidden="false" customHeight="false" outlineLevel="0" collapsed="false">
      <c r="A55" s="24" t="s">
        <v>223</v>
      </c>
      <c r="B55" s="4" t="n">
        <v>2</v>
      </c>
      <c r="C55" s="4" t="s">
        <v>371</v>
      </c>
      <c r="D55" s="4" t="s">
        <v>399</v>
      </c>
      <c r="E55" s="4" t="s">
        <v>400</v>
      </c>
      <c r="F55" s="4" t="s">
        <v>398</v>
      </c>
      <c r="G55" s="4" t="s">
        <v>401</v>
      </c>
      <c r="H55" s="4" t="s">
        <v>402</v>
      </c>
    </row>
    <row r="56" customFormat="false" ht="15" hidden="false" customHeight="false" outlineLevel="0" collapsed="false">
      <c r="A56" s="24" t="s">
        <v>229</v>
      </c>
      <c r="B56" s="4" t="n">
        <v>2</v>
      </c>
      <c r="C56" s="4" t="s">
        <v>371</v>
      </c>
      <c r="D56" s="4" t="s">
        <v>399</v>
      </c>
      <c r="E56" s="4" t="s">
        <v>403</v>
      </c>
      <c r="F56" s="4" t="s">
        <v>404</v>
      </c>
      <c r="G56" s="4" t="s">
        <v>405</v>
      </c>
      <c r="H56" s="4" t="s">
        <v>406</v>
      </c>
    </row>
    <row r="57" customFormat="false" ht="15" hidden="false" customHeight="false" outlineLevel="0" collapsed="false">
      <c r="A57" s="25" t="s">
        <v>225</v>
      </c>
      <c r="B57" s="4" t="n">
        <v>3</v>
      </c>
      <c r="C57" s="4" t="s">
        <v>371</v>
      </c>
      <c r="D57" s="4" t="s">
        <v>399</v>
      </c>
      <c r="E57" s="4" t="s">
        <v>397</v>
      </c>
      <c r="F57" s="4" t="s">
        <v>407</v>
      </c>
      <c r="G57" s="4" t="s">
        <v>408</v>
      </c>
      <c r="H57" s="4" t="s">
        <v>409</v>
      </c>
    </row>
    <row r="58" customFormat="false" ht="15" hidden="false" customHeight="false" outlineLevel="0" collapsed="false">
      <c r="A58" s="25" t="s">
        <v>228</v>
      </c>
      <c r="B58" s="4" t="n">
        <v>3</v>
      </c>
      <c r="C58" s="4" t="s">
        <v>371</v>
      </c>
      <c r="D58" s="4" t="s">
        <v>399</v>
      </c>
      <c r="E58" s="4" t="s">
        <v>410</v>
      </c>
      <c r="F58" s="4" t="s">
        <v>394</v>
      </c>
      <c r="G58" s="4" t="s">
        <v>405</v>
      </c>
      <c r="H58" s="4" t="s">
        <v>411</v>
      </c>
    </row>
    <row r="59" customFormat="false" ht="15" hidden="false" customHeight="false" outlineLevel="0" collapsed="false">
      <c r="A59" s="26" t="s">
        <v>222</v>
      </c>
      <c r="B59" s="4" t="n">
        <v>4</v>
      </c>
      <c r="C59" s="4" t="s">
        <v>371</v>
      </c>
      <c r="D59" s="4" t="s">
        <v>399</v>
      </c>
      <c r="E59" s="4" t="s">
        <v>393</v>
      </c>
      <c r="F59" s="4" t="s">
        <v>412</v>
      </c>
      <c r="G59" s="4" t="s">
        <v>413</v>
      </c>
      <c r="H59" s="4" t="s">
        <v>414</v>
      </c>
    </row>
    <row r="60" customFormat="false" ht="15" hidden="false" customHeight="false" outlineLevel="0" collapsed="false">
      <c r="A60" s="27" t="s">
        <v>226</v>
      </c>
      <c r="B60" s="4" t="n">
        <v>5</v>
      </c>
      <c r="C60" s="4" t="s">
        <v>371</v>
      </c>
      <c r="D60" s="4" t="s">
        <v>399</v>
      </c>
      <c r="E60" s="4" t="s">
        <v>415</v>
      </c>
      <c r="F60" s="4" t="s">
        <v>416</v>
      </c>
      <c r="G60" s="4" t="s">
        <v>417</v>
      </c>
      <c r="H60" s="4" t="s">
        <v>402</v>
      </c>
    </row>
    <row r="61" customFormat="false" ht="15" hidden="false" customHeight="false" outlineLevel="0" collapsed="false">
      <c r="A61" s="27" t="s">
        <v>224</v>
      </c>
      <c r="B61" s="4" t="n">
        <v>5</v>
      </c>
      <c r="C61" s="4" t="s">
        <v>371</v>
      </c>
      <c r="D61" s="4" t="s">
        <v>399</v>
      </c>
      <c r="E61" s="4" t="s">
        <v>400</v>
      </c>
      <c r="F61" s="4" t="s">
        <v>404</v>
      </c>
      <c r="G61" s="4" t="s">
        <v>418</v>
      </c>
      <c r="H61" s="4" t="s">
        <v>419</v>
      </c>
    </row>
    <row r="62" customFormat="false" ht="15" hidden="false" customHeight="false" outlineLevel="0" collapsed="false">
      <c r="A62" s="28" t="s">
        <v>227</v>
      </c>
      <c r="B62" s="4" t="n">
        <v>6</v>
      </c>
      <c r="C62" s="4" t="s">
        <v>371</v>
      </c>
      <c r="D62" s="4" t="s">
        <v>399</v>
      </c>
      <c r="E62" s="4" t="s">
        <v>415</v>
      </c>
      <c r="F62" s="4" t="s">
        <v>412</v>
      </c>
      <c r="G62" s="4" t="s">
        <v>413</v>
      </c>
      <c r="H62" s="4" t="s">
        <v>409</v>
      </c>
    </row>
    <row r="63" customFormat="false" ht="15" hidden="false" customHeight="false" outlineLevel="0" collapsed="false">
      <c r="A63" s="28" t="s">
        <v>230</v>
      </c>
      <c r="B63" s="4" t="n">
        <v>6</v>
      </c>
      <c r="C63" s="4" t="s">
        <v>371</v>
      </c>
      <c r="D63" s="4" t="s">
        <v>399</v>
      </c>
      <c r="E63" s="4" t="s">
        <v>403</v>
      </c>
      <c r="F63" s="4" t="s">
        <v>416</v>
      </c>
      <c r="G63" s="4" t="s">
        <v>418</v>
      </c>
      <c r="H63" s="4" t="s">
        <v>411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6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3" ySplit="4" topLeftCell="D5" activePane="bottomRight" state="frozen"/>
      <selection pane="topLeft" activeCell="A1" activeCellId="0" sqref="A1"/>
      <selection pane="topRight" activeCell="D1" activeCellId="0" sqref="D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2" min="1" style="0" width="9"/>
    <col collapsed="false" customWidth="true" hidden="false" outlineLevel="0" max="3" min="3" style="0" width="8"/>
    <col collapsed="false" customWidth="true" hidden="false" outlineLevel="0" max="8" min="4" style="0" width="11"/>
  </cols>
  <sheetData>
    <row r="1" customFormat="false" ht="17.35" hidden="false" customHeight="false" outlineLevel="0" collapsed="false">
      <c r="A1" s="1" t="s">
        <v>420</v>
      </c>
    </row>
    <row r="2" customFormat="false" ht="15" hidden="false" customHeight="false" outlineLevel="0" collapsed="false">
      <c r="A2" s="2" t="s">
        <v>421</v>
      </c>
    </row>
    <row r="4" customFormat="false" ht="15" hidden="false" customHeight="false" outlineLevel="0" collapsed="false">
      <c r="A4" s="3" t="s">
        <v>250</v>
      </c>
      <c r="B4" s="3" t="s">
        <v>252</v>
      </c>
      <c r="C4" s="3" t="s">
        <v>251</v>
      </c>
      <c r="D4" s="3" t="s">
        <v>87</v>
      </c>
      <c r="E4" s="3" t="s">
        <v>104</v>
      </c>
      <c r="F4" s="3" t="s">
        <v>82</v>
      </c>
      <c r="G4" s="3" t="s">
        <v>128</v>
      </c>
      <c r="H4" s="3" t="s">
        <v>100</v>
      </c>
    </row>
    <row r="5" customFormat="false" ht="15" hidden="false" customHeight="false" outlineLevel="0" collapsed="false">
      <c r="A5" s="24" t="s">
        <v>152</v>
      </c>
      <c r="B5" s="4" t="s">
        <v>258</v>
      </c>
      <c r="C5" s="4" t="n">
        <v>2</v>
      </c>
      <c r="D5" s="8" t="s">
        <v>422</v>
      </c>
      <c r="E5" s="8" t="s">
        <v>423</v>
      </c>
      <c r="F5" s="8" t="s">
        <v>424</v>
      </c>
      <c r="G5" s="8" t="s">
        <v>425</v>
      </c>
      <c r="H5" s="8" t="s">
        <v>426</v>
      </c>
    </row>
    <row r="6" customFormat="false" ht="15" hidden="false" customHeight="false" outlineLevel="0" collapsed="false">
      <c r="A6" s="24" t="s">
        <v>154</v>
      </c>
      <c r="B6" s="4" t="s">
        <v>258</v>
      </c>
      <c r="C6" s="4" t="n">
        <v>2</v>
      </c>
      <c r="D6" s="8" t="s">
        <v>427</v>
      </c>
      <c r="E6" s="8" t="s">
        <v>428</v>
      </c>
      <c r="F6" s="8" t="s">
        <v>429</v>
      </c>
      <c r="G6" s="8" t="s">
        <v>430</v>
      </c>
      <c r="H6" s="8" t="s">
        <v>431</v>
      </c>
    </row>
    <row r="7" customFormat="false" ht="15" hidden="false" customHeight="false" outlineLevel="0" collapsed="false">
      <c r="A7" s="24" t="s">
        <v>157</v>
      </c>
      <c r="B7" s="4" t="s">
        <v>258</v>
      </c>
      <c r="C7" s="4" t="n">
        <v>2</v>
      </c>
      <c r="D7" s="29" t="s">
        <v>432</v>
      </c>
      <c r="E7" s="8" t="s">
        <v>433</v>
      </c>
      <c r="F7" s="8" t="s">
        <v>434</v>
      </c>
      <c r="G7" s="8" t="s">
        <v>435</v>
      </c>
      <c r="H7" s="8" t="s">
        <v>436</v>
      </c>
    </row>
    <row r="8" customFormat="false" ht="15" hidden="false" customHeight="false" outlineLevel="0" collapsed="false">
      <c r="A8" s="28" t="s">
        <v>153</v>
      </c>
      <c r="B8" s="4" t="s">
        <v>258</v>
      </c>
      <c r="C8" s="4" t="n">
        <v>6</v>
      </c>
      <c r="D8" s="8" t="s">
        <v>437</v>
      </c>
      <c r="E8" s="8" t="s">
        <v>438</v>
      </c>
      <c r="F8" s="8" t="s">
        <v>439</v>
      </c>
      <c r="G8" s="8" t="s">
        <v>440</v>
      </c>
      <c r="H8" s="8" t="s">
        <v>441</v>
      </c>
    </row>
    <row r="9" customFormat="false" ht="15" hidden="false" customHeight="false" outlineLevel="0" collapsed="false">
      <c r="A9" s="28" t="s">
        <v>155</v>
      </c>
      <c r="B9" s="4" t="s">
        <v>258</v>
      </c>
      <c r="C9" s="4" t="n">
        <v>6</v>
      </c>
      <c r="D9" s="8" t="s">
        <v>442</v>
      </c>
      <c r="E9" s="8" t="s">
        <v>443</v>
      </c>
      <c r="F9" s="29" t="s">
        <v>444</v>
      </c>
      <c r="G9" s="8" t="s">
        <v>445</v>
      </c>
      <c r="H9" s="8" t="s">
        <v>446</v>
      </c>
    </row>
    <row r="10" customFormat="false" ht="15" hidden="false" customHeight="false" outlineLevel="0" collapsed="false">
      <c r="A10" s="28" t="s">
        <v>156</v>
      </c>
      <c r="B10" s="4" t="s">
        <v>258</v>
      </c>
      <c r="C10" s="4" t="n">
        <v>6</v>
      </c>
      <c r="D10" s="8" t="s">
        <v>447</v>
      </c>
      <c r="E10" s="8" t="s">
        <v>448</v>
      </c>
      <c r="F10" s="8" t="s">
        <v>449</v>
      </c>
      <c r="G10" s="8" t="s">
        <v>450</v>
      </c>
      <c r="H10" s="8" t="s">
        <v>451</v>
      </c>
    </row>
    <row r="11" customFormat="false" ht="15" hidden="false" customHeight="false" outlineLevel="0" collapsed="false">
      <c r="A11" s="25" t="s">
        <v>160</v>
      </c>
      <c r="B11" s="4" t="s">
        <v>278</v>
      </c>
      <c r="C11" s="4" t="n">
        <v>3</v>
      </c>
      <c r="D11" s="8" t="s">
        <v>452</v>
      </c>
      <c r="E11" s="8" t="s">
        <v>453</v>
      </c>
      <c r="F11" s="8" t="s">
        <v>454</v>
      </c>
      <c r="G11" s="29" t="s">
        <v>455</v>
      </c>
      <c r="H11" s="8" t="s">
        <v>456</v>
      </c>
    </row>
    <row r="12" customFormat="false" ht="15" hidden="false" customHeight="false" outlineLevel="0" collapsed="false">
      <c r="A12" s="28" t="s">
        <v>159</v>
      </c>
      <c r="B12" s="4" t="s">
        <v>278</v>
      </c>
      <c r="C12" s="4" t="n">
        <v>6</v>
      </c>
      <c r="D12" s="8" t="s">
        <v>457</v>
      </c>
      <c r="E12" s="8" t="s">
        <v>458</v>
      </c>
      <c r="F12" s="8" t="s">
        <v>459</v>
      </c>
      <c r="G12" s="29" t="s">
        <v>460</v>
      </c>
      <c r="H12" s="8" t="s">
        <v>461</v>
      </c>
    </row>
    <row r="13" customFormat="false" ht="15" hidden="false" customHeight="false" outlineLevel="0" collapsed="false">
      <c r="A13" s="23" t="s">
        <v>162</v>
      </c>
      <c r="B13" s="4" t="s">
        <v>283</v>
      </c>
      <c r="C13" s="4" t="n">
        <v>1</v>
      </c>
      <c r="D13" s="8" t="s">
        <v>462</v>
      </c>
      <c r="E13" s="8" t="s">
        <v>463</v>
      </c>
      <c r="F13" s="8" t="s">
        <v>464</v>
      </c>
      <c r="G13" s="8" t="s">
        <v>465</v>
      </c>
      <c r="H13" s="8" t="s">
        <v>466</v>
      </c>
    </row>
    <row r="14" customFormat="false" ht="15" hidden="false" customHeight="false" outlineLevel="0" collapsed="false">
      <c r="A14" s="23" t="s">
        <v>163</v>
      </c>
      <c r="B14" s="4" t="s">
        <v>283</v>
      </c>
      <c r="C14" s="4" t="n">
        <v>1</v>
      </c>
      <c r="D14" s="29" t="s">
        <v>467</v>
      </c>
      <c r="E14" s="8" t="s">
        <v>468</v>
      </c>
      <c r="F14" s="8" t="s">
        <v>469</v>
      </c>
      <c r="G14" s="8" t="s">
        <v>470</v>
      </c>
      <c r="H14" s="8" t="s">
        <v>471</v>
      </c>
    </row>
    <row r="15" customFormat="false" ht="15" hidden="false" customHeight="false" outlineLevel="0" collapsed="false">
      <c r="A15" s="25" t="s">
        <v>166</v>
      </c>
      <c r="B15" s="4" t="s">
        <v>283</v>
      </c>
      <c r="C15" s="4" t="n">
        <v>3</v>
      </c>
      <c r="D15" s="8" t="s">
        <v>472</v>
      </c>
      <c r="E15" s="8" t="s">
        <v>473</v>
      </c>
      <c r="F15" s="8" t="s">
        <v>474</v>
      </c>
      <c r="G15" s="8" t="s">
        <v>475</v>
      </c>
      <c r="H15" s="8" t="s">
        <v>476</v>
      </c>
    </row>
    <row r="16" customFormat="false" ht="15" hidden="false" customHeight="false" outlineLevel="0" collapsed="false">
      <c r="A16" s="27" t="s">
        <v>164</v>
      </c>
      <c r="B16" s="4" t="s">
        <v>283</v>
      </c>
      <c r="C16" s="4" t="n">
        <v>5</v>
      </c>
      <c r="D16" s="8" t="s">
        <v>477</v>
      </c>
      <c r="E16" s="8" t="s">
        <v>478</v>
      </c>
      <c r="F16" s="29" t="s">
        <v>479</v>
      </c>
      <c r="G16" s="8" t="s">
        <v>480</v>
      </c>
      <c r="H16" s="8" t="s">
        <v>481</v>
      </c>
    </row>
    <row r="17" customFormat="false" ht="15" hidden="false" customHeight="false" outlineLevel="0" collapsed="false">
      <c r="A17" s="27" t="s">
        <v>165</v>
      </c>
      <c r="B17" s="4" t="s">
        <v>283</v>
      </c>
      <c r="C17" s="4" t="n">
        <v>5</v>
      </c>
      <c r="D17" s="8" t="s">
        <v>482</v>
      </c>
      <c r="E17" s="8" t="s">
        <v>483</v>
      </c>
      <c r="F17" s="8" t="s">
        <v>484</v>
      </c>
      <c r="G17" s="8" t="s">
        <v>485</v>
      </c>
      <c r="H17" s="8" t="s">
        <v>486</v>
      </c>
    </row>
    <row r="18" customFormat="false" ht="15" hidden="false" customHeight="false" outlineLevel="0" collapsed="false">
      <c r="A18" s="23" t="s">
        <v>170</v>
      </c>
      <c r="B18" s="4" t="s">
        <v>259</v>
      </c>
      <c r="C18" s="4" t="n">
        <v>1</v>
      </c>
      <c r="D18" s="8" t="s">
        <v>487</v>
      </c>
      <c r="E18" s="8" t="s">
        <v>488</v>
      </c>
      <c r="F18" s="8" t="s">
        <v>489</v>
      </c>
      <c r="G18" s="8" t="s">
        <v>490</v>
      </c>
      <c r="H18" s="8" t="s">
        <v>491</v>
      </c>
    </row>
    <row r="19" customFormat="false" ht="15" hidden="false" customHeight="false" outlineLevel="0" collapsed="false">
      <c r="A19" s="27" t="s">
        <v>169</v>
      </c>
      <c r="B19" s="4" t="s">
        <v>259</v>
      </c>
      <c r="C19" s="4" t="n">
        <v>5</v>
      </c>
      <c r="D19" s="8" t="s">
        <v>492</v>
      </c>
      <c r="E19" s="8" t="s">
        <v>493</v>
      </c>
      <c r="F19" s="8" t="s">
        <v>494</v>
      </c>
      <c r="G19" s="29" t="s">
        <v>495</v>
      </c>
      <c r="H19" s="8" t="s">
        <v>496</v>
      </c>
    </row>
    <row r="20" customFormat="false" ht="15" hidden="false" customHeight="false" outlineLevel="0" collapsed="false">
      <c r="A20" s="28" t="s">
        <v>171</v>
      </c>
      <c r="B20" s="4" t="s">
        <v>259</v>
      </c>
      <c r="C20" s="4" t="n">
        <v>6</v>
      </c>
      <c r="D20" s="8" t="s">
        <v>497</v>
      </c>
      <c r="E20" s="8" t="s">
        <v>498</v>
      </c>
      <c r="F20" s="8" t="s">
        <v>499</v>
      </c>
      <c r="G20" s="8" t="s">
        <v>500</v>
      </c>
      <c r="H20" s="8" t="s">
        <v>501</v>
      </c>
    </row>
    <row r="21" customFormat="false" ht="15" hidden="false" customHeight="false" outlineLevel="0" collapsed="false">
      <c r="A21" s="24" t="s">
        <v>174</v>
      </c>
      <c r="B21" s="4" t="s">
        <v>279</v>
      </c>
      <c r="C21" s="4" t="n">
        <v>2</v>
      </c>
      <c r="D21" s="8" t="s">
        <v>502</v>
      </c>
      <c r="E21" s="8" t="s">
        <v>503</v>
      </c>
      <c r="F21" s="8" t="s">
        <v>504</v>
      </c>
      <c r="G21" s="8" t="s">
        <v>505</v>
      </c>
      <c r="H21" s="8" t="s">
        <v>506</v>
      </c>
    </row>
    <row r="22" customFormat="false" ht="15" hidden="false" customHeight="false" outlineLevel="0" collapsed="false">
      <c r="A22" s="26" t="s">
        <v>173</v>
      </c>
      <c r="B22" s="4" t="s">
        <v>279</v>
      </c>
      <c r="C22" s="4" t="n">
        <v>4</v>
      </c>
      <c r="D22" s="8" t="s">
        <v>507</v>
      </c>
      <c r="E22" s="8" t="s">
        <v>508</v>
      </c>
      <c r="F22" s="8" t="s">
        <v>509</v>
      </c>
      <c r="G22" s="8" t="s">
        <v>510</v>
      </c>
      <c r="H22" s="8" t="s">
        <v>511</v>
      </c>
    </row>
    <row r="23" customFormat="false" ht="15" hidden="false" customHeight="false" outlineLevel="0" collapsed="false">
      <c r="A23" s="23" t="s">
        <v>180</v>
      </c>
      <c r="B23" s="4" t="s">
        <v>284</v>
      </c>
      <c r="C23" s="4" t="n">
        <v>1</v>
      </c>
      <c r="D23" s="8" t="s">
        <v>512</v>
      </c>
      <c r="E23" s="29" t="s">
        <v>513</v>
      </c>
      <c r="F23" s="8" t="s">
        <v>514</v>
      </c>
      <c r="G23" s="8" t="s">
        <v>515</v>
      </c>
      <c r="H23" s="8" t="s">
        <v>516</v>
      </c>
    </row>
    <row r="24" customFormat="false" ht="15" hidden="false" customHeight="false" outlineLevel="0" collapsed="false">
      <c r="A24" s="23" t="s">
        <v>181</v>
      </c>
      <c r="B24" s="4" t="s">
        <v>284</v>
      </c>
      <c r="C24" s="4" t="n">
        <v>1</v>
      </c>
      <c r="D24" s="8" t="s">
        <v>517</v>
      </c>
      <c r="E24" s="8" t="s">
        <v>518</v>
      </c>
      <c r="F24" s="8" t="s">
        <v>519</v>
      </c>
      <c r="G24" s="8" t="s">
        <v>520</v>
      </c>
      <c r="H24" s="8" t="s">
        <v>521</v>
      </c>
    </row>
    <row r="25" customFormat="false" ht="15" hidden="false" customHeight="false" outlineLevel="0" collapsed="false">
      <c r="A25" s="24" t="s">
        <v>176</v>
      </c>
      <c r="B25" s="4" t="s">
        <v>284</v>
      </c>
      <c r="C25" s="4" t="n">
        <v>2</v>
      </c>
      <c r="D25" s="8" t="s">
        <v>522</v>
      </c>
      <c r="E25" s="29" t="s">
        <v>523</v>
      </c>
      <c r="F25" s="8" t="s">
        <v>524</v>
      </c>
      <c r="G25" s="8" t="s">
        <v>525</v>
      </c>
      <c r="H25" s="8" t="s">
        <v>526</v>
      </c>
    </row>
    <row r="26" customFormat="false" ht="15" hidden="false" customHeight="false" outlineLevel="0" collapsed="false">
      <c r="A26" s="24" t="s">
        <v>179</v>
      </c>
      <c r="B26" s="4" t="s">
        <v>284</v>
      </c>
      <c r="C26" s="4" t="n">
        <v>2</v>
      </c>
      <c r="D26" s="8" t="s">
        <v>527</v>
      </c>
      <c r="E26" s="8" t="s">
        <v>528</v>
      </c>
      <c r="F26" s="8" t="s">
        <v>529</v>
      </c>
      <c r="G26" s="8" t="s">
        <v>530</v>
      </c>
      <c r="H26" s="8" t="s">
        <v>531</v>
      </c>
    </row>
    <row r="27" customFormat="false" ht="15" hidden="false" customHeight="false" outlineLevel="0" collapsed="false">
      <c r="A27" s="25" t="s">
        <v>178</v>
      </c>
      <c r="B27" s="4" t="s">
        <v>284</v>
      </c>
      <c r="C27" s="4" t="n">
        <v>3</v>
      </c>
      <c r="D27" s="8" t="s">
        <v>532</v>
      </c>
      <c r="E27" s="8" t="s">
        <v>533</v>
      </c>
      <c r="F27" s="8" t="s">
        <v>534</v>
      </c>
      <c r="G27" s="8" t="s">
        <v>535</v>
      </c>
      <c r="H27" s="29" t="s">
        <v>536</v>
      </c>
    </row>
    <row r="28" customFormat="false" ht="15" hidden="false" customHeight="false" outlineLevel="0" collapsed="false">
      <c r="A28" s="26" t="s">
        <v>177</v>
      </c>
      <c r="B28" s="4" t="s">
        <v>284</v>
      </c>
      <c r="C28" s="4" t="n">
        <v>4</v>
      </c>
      <c r="D28" s="8" t="s">
        <v>537</v>
      </c>
      <c r="E28" s="8" t="s">
        <v>538</v>
      </c>
      <c r="F28" s="8" t="s">
        <v>539</v>
      </c>
      <c r="G28" s="29" t="s">
        <v>540</v>
      </c>
      <c r="H28" s="8" t="s">
        <v>541</v>
      </c>
    </row>
    <row r="29" customFormat="false" ht="15" hidden="false" customHeight="false" outlineLevel="0" collapsed="false">
      <c r="A29" s="26" t="s">
        <v>183</v>
      </c>
      <c r="B29" s="4" t="s">
        <v>284</v>
      </c>
      <c r="C29" s="4" t="n">
        <v>4</v>
      </c>
      <c r="D29" s="8" t="s">
        <v>542</v>
      </c>
      <c r="E29" s="8" t="s">
        <v>543</v>
      </c>
      <c r="F29" s="8" t="s">
        <v>544</v>
      </c>
      <c r="G29" s="8" t="s">
        <v>545</v>
      </c>
      <c r="H29" s="8" t="s">
        <v>546</v>
      </c>
    </row>
    <row r="30" customFormat="false" ht="15" hidden="false" customHeight="false" outlineLevel="0" collapsed="false">
      <c r="A30" s="27" t="s">
        <v>182</v>
      </c>
      <c r="B30" s="4" t="s">
        <v>284</v>
      </c>
      <c r="C30" s="4" t="n">
        <v>5</v>
      </c>
      <c r="D30" s="8" t="s">
        <v>547</v>
      </c>
      <c r="E30" s="8" t="s">
        <v>548</v>
      </c>
      <c r="F30" s="8" t="s">
        <v>549</v>
      </c>
      <c r="G30" s="8" t="s">
        <v>550</v>
      </c>
      <c r="H30" s="8" t="s">
        <v>551</v>
      </c>
    </row>
    <row r="31" customFormat="false" ht="15" hidden="false" customHeight="false" outlineLevel="0" collapsed="false">
      <c r="A31" s="23" t="s">
        <v>191</v>
      </c>
      <c r="B31" s="4" t="s">
        <v>328</v>
      </c>
      <c r="C31" s="4" t="n">
        <v>1</v>
      </c>
      <c r="D31" s="8" t="s">
        <v>552</v>
      </c>
      <c r="E31" s="8" t="s">
        <v>553</v>
      </c>
      <c r="F31" s="29" t="s">
        <v>554</v>
      </c>
      <c r="G31" s="8" t="s">
        <v>555</v>
      </c>
      <c r="H31" s="8" t="s">
        <v>556</v>
      </c>
    </row>
    <row r="32" customFormat="false" ht="15" hidden="false" customHeight="false" outlineLevel="0" collapsed="false">
      <c r="A32" s="23" t="s">
        <v>192</v>
      </c>
      <c r="B32" s="4" t="s">
        <v>328</v>
      </c>
      <c r="C32" s="4" t="n">
        <v>1</v>
      </c>
      <c r="D32" s="8" t="s">
        <v>557</v>
      </c>
      <c r="E32" s="8" t="s">
        <v>558</v>
      </c>
      <c r="F32" s="8" t="s">
        <v>559</v>
      </c>
      <c r="G32" s="8" t="s">
        <v>560</v>
      </c>
      <c r="H32" s="8" t="s">
        <v>561</v>
      </c>
    </row>
    <row r="33" customFormat="false" ht="15" hidden="false" customHeight="false" outlineLevel="0" collapsed="false">
      <c r="A33" s="25" t="s">
        <v>193</v>
      </c>
      <c r="B33" s="4" t="s">
        <v>328</v>
      </c>
      <c r="C33" s="4" t="n">
        <v>3</v>
      </c>
      <c r="D33" s="29" t="s">
        <v>562</v>
      </c>
      <c r="E33" s="8" t="s">
        <v>563</v>
      </c>
      <c r="F33" s="8" t="s">
        <v>564</v>
      </c>
      <c r="G33" s="8" t="s">
        <v>565</v>
      </c>
      <c r="H33" s="8" t="s">
        <v>566</v>
      </c>
    </row>
    <row r="34" customFormat="false" ht="15" hidden="false" customHeight="false" outlineLevel="0" collapsed="false">
      <c r="A34" s="25" t="s">
        <v>195</v>
      </c>
      <c r="B34" s="4" t="s">
        <v>328</v>
      </c>
      <c r="C34" s="4" t="n">
        <v>3</v>
      </c>
      <c r="D34" s="8" t="s">
        <v>567</v>
      </c>
      <c r="E34" s="8" t="s">
        <v>568</v>
      </c>
      <c r="F34" s="8" t="s">
        <v>569</v>
      </c>
      <c r="G34" s="8" t="s">
        <v>570</v>
      </c>
      <c r="H34" s="8" t="s">
        <v>571</v>
      </c>
    </row>
    <row r="35" customFormat="false" ht="15" hidden="false" customHeight="false" outlineLevel="0" collapsed="false">
      <c r="A35" s="26" t="s">
        <v>189</v>
      </c>
      <c r="B35" s="4" t="s">
        <v>328</v>
      </c>
      <c r="C35" s="4" t="n">
        <v>4</v>
      </c>
      <c r="D35" s="8" t="s">
        <v>572</v>
      </c>
      <c r="E35" s="8" t="s">
        <v>573</v>
      </c>
      <c r="F35" s="8" t="s">
        <v>574</v>
      </c>
      <c r="G35" s="8" t="s">
        <v>575</v>
      </c>
      <c r="H35" s="29" t="s">
        <v>576</v>
      </c>
    </row>
    <row r="36" customFormat="false" ht="15" hidden="false" customHeight="false" outlineLevel="0" collapsed="false">
      <c r="A36" s="26" t="s">
        <v>196</v>
      </c>
      <c r="B36" s="4" t="s">
        <v>328</v>
      </c>
      <c r="C36" s="4" t="n">
        <v>4</v>
      </c>
      <c r="D36" s="29" t="s">
        <v>577</v>
      </c>
      <c r="E36" s="8" t="s">
        <v>578</v>
      </c>
      <c r="F36" s="8" t="s">
        <v>579</v>
      </c>
      <c r="G36" s="8" t="s">
        <v>580</v>
      </c>
      <c r="H36" s="8" t="s">
        <v>581</v>
      </c>
    </row>
    <row r="37" customFormat="false" ht="15" hidden="false" customHeight="false" outlineLevel="0" collapsed="false">
      <c r="A37" s="26" t="s">
        <v>190</v>
      </c>
      <c r="B37" s="4" t="s">
        <v>328</v>
      </c>
      <c r="C37" s="4" t="n">
        <v>4</v>
      </c>
      <c r="D37" s="8" t="s">
        <v>582</v>
      </c>
      <c r="E37" s="8" t="s">
        <v>583</v>
      </c>
      <c r="F37" s="8" t="s">
        <v>584</v>
      </c>
      <c r="G37" s="8" t="s">
        <v>585</v>
      </c>
      <c r="H37" s="8" t="s">
        <v>586</v>
      </c>
    </row>
    <row r="38" customFormat="false" ht="15" hidden="false" customHeight="false" outlineLevel="0" collapsed="false">
      <c r="A38" s="27" t="s">
        <v>194</v>
      </c>
      <c r="B38" s="4" t="s">
        <v>328</v>
      </c>
      <c r="C38" s="4" t="n">
        <v>5</v>
      </c>
      <c r="D38" s="8" t="s">
        <v>587</v>
      </c>
      <c r="E38" s="8" t="s">
        <v>588</v>
      </c>
      <c r="F38" s="8" t="s">
        <v>589</v>
      </c>
      <c r="G38" s="8" t="s">
        <v>590</v>
      </c>
      <c r="H38" s="29" t="s">
        <v>591</v>
      </c>
    </row>
    <row r="39" customFormat="false" ht="15" hidden="false" customHeight="false" outlineLevel="0" collapsed="false">
      <c r="A39" s="24" t="s">
        <v>198</v>
      </c>
      <c r="B39" s="4" t="s">
        <v>355</v>
      </c>
      <c r="C39" s="4" t="n">
        <v>2</v>
      </c>
      <c r="D39" s="8" t="s">
        <v>592</v>
      </c>
      <c r="E39" s="8" t="s">
        <v>593</v>
      </c>
      <c r="F39" s="29" t="s">
        <v>594</v>
      </c>
      <c r="G39" s="8" t="s">
        <v>595</v>
      </c>
      <c r="H39" s="8" t="s">
        <v>596</v>
      </c>
    </row>
    <row r="40" customFormat="false" ht="15" hidden="false" customHeight="false" outlineLevel="0" collapsed="false">
      <c r="A40" s="23" t="s">
        <v>201</v>
      </c>
      <c r="B40" s="4" t="s">
        <v>358</v>
      </c>
      <c r="C40" s="4" t="n">
        <v>1</v>
      </c>
      <c r="D40" s="8" t="s">
        <v>597</v>
      </c>
      <c r="E40" s="8" t="s">
        <v>598</v>
      </c>
      <c r="F40" s="8" t="s">
        <v>599</v>
      </c>
      <c r="G40" s="29" t="s">
        <v>600</v>
      </c>
      <c r="H40" s="8" t="s">
        <v>601</v>
      </c>
    </row>
    <row r="41" customFormat="false" ht="15" hidden="false" customHeight="false" outlineLevel="0" collapsed="false">
      <c r="A41" s="26" t="s">
        <v>200</v>
      </c>
      <c r="B41" s="4" t="s">
        <v>358</v>
      </c>
      <c r="C41" s="4" t="n">
        <v>4</v>
      </c>
      <c r="D41" s="8" t="s">
        <v>602</v>
      </c>
      <c r="E41" s="29" t="s">
        <v>603</v>
      </c>
      <c r="F41" s="8" t="s">
        <v>604</v>
      </c>
      <c r="G41" s="8" t="s">
        <v>605</v>
      </c>
      <c r="H41" s="8" t="s">
        <v>606</v>
      </c>
    </row>
    <row r="42" customFormat="false" ht="15" hidden="false" customHeight="false" outlineLevel="0" collapsed="false">
      <c r="A42" s="26" t="s">
        <v>202</v>
      </c>
      <c r="B42" s="4" t="s">
        <v>358</v>
      </c>
      <c r="C42" s="4" t="n">
        <v>4</v>
      </c>
      <c r="D42" s="8" t="s">
        <v>607</v>
      </c>
      <c r="E42" s="8" t="s">
        <v>608</v>
      </c>
      <c r="F42" s="8" t="s">
        <v>609</v>
      </c>
      <c r="G42" s="8" t="s">
        <v>610</v>
      </c>
      <c r="H42" s="8" t="s">
        <v>611</v>
      </c>
    </row>
    <row r="43" customFormat="false" ht="15" hidden="false" customHeight="false" outlineLevel="0" collapsed="false">
      <c r="A43" s="25" t="s">
        <v>204</v>
      </c>
      <c r="B43" s="4" t="s">
        <v>366</v>
      </c>
      <c r="C43" s="4" t="n">
        <v>3</v>
      </c>
      <c r="D43" s="8" t="s">
        <v>612</v>
      </c>
      <c r="E43" s="29" t="s">
        <v>613</v>
      </c>
      <c r="F43" s="8" t="s">
        <v>614</v>
      </c>
      <c r="G43" s="8" t="s">
        <v>615</v>
      </c>
      <c r="H43" s="8" t="s">
        <v>616</v>
      </c>
    </row>
    <row r="44" customFormat="false" ht="15" hidden="false" customHeight="false" outlineLevel="0" collapsed="false">
      <c r="A44" s="23" t="s">
        <v>206</v>
      </c>
      <c r="B44" s="4" t="s">
        <v>329</v>
      </c>
      <c r="C44" s="4" t="n">
        <v>1</v>
      </c>
      <c r="D44" s="8" t="s">
        <v>617</v>
      </c>
      <c r="E44" s="8" t="s">
        <v>618</v>
      </c>
      <c r="F44" s="8" t="s">
        <v>619</v>
      </c>
      <c r="G44" s="8" t="s">
        <v>620</v>
      </c>
      <c r="H44" s="8" t="s">
        <v>621</v>
      </c>
    </row>
    <row r="45" customFormat="false" ht="15" hidden="false" customHeight="false" outlineLevel="0" collapsed="false">
      <c r="A45" s="23" t="s">
        <v>210</v>
      </c>
      <c r="B45" s="4" t="s">
        <v>329</v>
      </c>
      <c r="C45" s="4" t="n">
        <v>1</v>
      </c>
      <c r="D45" s="8" t="s">
        <v>622</v>
      </c>
      <c r="E45" s="8" t="s">
        <v>623</v>
      </c>
      <c r="F45" s="8" t="s">
        <v>624</v>
      </c>
      <c r="G45" s="8" t="s">
        <v>625</v>
      </c>
      <c r="H45" s="29" t="s">
        <v>626</v>
      </c>
    </row>
    <row r="46" customFormat="false" ht="15" hidden="false" customHeight="false" outlineLevel="0" collapsed="false">
      <c r="A46" s="24" t="s">
        <v>213</v>
      </c>
      <c r="B46" s="4" t="s">
        <v>329</v>
      </c>
      <c r="C46" s="4" t="n">
        <v>2</v>
      </c>
      <c r="D46" s="8" t="s">
        <v>627</v>
      </c>
      <c r="E46" s="8" t="s">
        <v>628</v>
      </c>
      <c r="F46" s="8" t="s">
        <v>629</v>
      </c>
      <c r="G46" s="8" t="s">
        <v>630</v>
      </c>
      <c r="H46" s="8" t="s">
        <v>631</v>
      </c>
    </row>
    <row r="47" customFormat="false" ht="15" hidden="false" customHeight="false" outlineLevel="0" collapsed="false">
      <c r="A47" s="25" t="s">
        <v>208</v>
      </c>
      <c r="B47" s="4" t="s">
        <v>329</v>
      </c>
      <c r="C47" s="4" t="n">
        <v>3</v>
      </c>
      <c r="D47" s="8" t="s">
        <v>632</v>
      </c>
      <c r="E47" s="8" t="s">
        <v>633</v>
      </c>
      <c r="F47" s="8" t="s">
        <v>634</v>
      </c>
      <c r="G47" s="8" t="s">
        <v>635</v>
      </c>
      <c r="H47" s="8" t="s">
        <v>636</v>
      </c>
    </row>
    <row r="48" customFormat="false" ht="15" hidden="false" customHeight="false" outlineLevel="0" collapsed="false">
      <c r="A48" s="27" t="s">
        <v>212</v>
      </c>
      <c r="B48" s="4" t="s">
        <v>329</v>
      </c>
      <c r="C48" s="4" t="n">
        <v>5</v>
      </c>
      <c r="D48" s="29" t="s">
        <v>637</v>
      </c>
      <c r="E48" s="8" t="s">
        <v>638</v>
      </c>
      <c r="F48" s="8" t="s">
        <v>639</v>
      </c>
      <c r="G48" s="8" t="s">
        <v>640</v>
      </c>
      <c r="H48" s="8" t="s">
        <v>641</v>
      </c>
    </row>
    <row r="49" customFormat="false" ht="15" hidden="false" customHeight="false" outlineLevel="0" collapsed="false">
      <c r="A49" s="27" t="s">
        <v>211</v>
      </c>
      <c r="B49" s="4" t="s">
        <v>329</v>
      </c>
      <c r="C49" s="4" t="n">
        <v>5</v>
      </c>
      <c r="D49" s="8" t="s">
        <v>642</v>
      </c>
      <c r="E49" s="8" t="s">
        <v>643</v>
      </c>
      <c r="F49" s="8" t="s">
        <v>644</v>
      </c>
      <c r="G49" s="8" t="s">
        <v>645</v>
      </c>
      <c r="H49" s="8" t="s">
        <v>646</v>
      </c>
    </row>
    <row r="50" customFormat="false" ht="15" hidden="false" customHeight="false" outlineLevel="0" collapsed="false">
      <c r="A50" s="28" t="s">
        <v>207</v>
      </c>
      <c r="B50" s="4" t="s">
        <v>329</v>
      </c>
      <c r="C50" s="4" t="n">
        <v>6</v>
      </c>
      <c r="D50" s="8" t="s">
        <v>647</v>
      </c>
      <c r="E50" s="8" t="s">
        <v>648</v>
      </c>
      <c r="F50" s="8" t="s">
        <v>649</v>
      </c>
      <c r="G50" s="8" t="s">
        <v>650</v>
      </c>
      <c r="H50" s="29" t="s">
        <v>651</v>
      </c>
    </row>
    <row r="51" customFormat="false" ht="15" hidden="false" customHeight="false" outlineLevel="0" collapsed="false">
      <c r="A51" s="28" t="s">
        <v>209</v>
      </c>
      <c r="B51" s="4" t="s">
        <v>329</v>
      </c>
      <c r="C51" s="4" t="n">
        <v>6</v>
      </c>
      <c r="D51" s="29" t="s">
        <v>652</v>
      </c>
      <c r="E51" s="8" t="s">
        <v>653</v>
      </c>
      <c r="F51" s="8" t="s">
        <v>654</v>
      </c>
      <c r="G51" s="8" t="s">
        <v>655</v>
      </c>
      <c r="H51" s="8" t="s">
        <v>656</v>
      </c>
    </row>
    <row r="52" customFormat="false" ht="15" hidden="false" customHeight="false" outlineLevel="0" collapsed="false">
      <c r="A52" s="23" t="s">
        <v>217</v>
      </c>
      <c r="B52" s="4" t="s">
        <v>359</v>
      </c>
      <c r="C52" s="4" t="n">
        <v>1</v>
      </c>
      <c r="D52" s="8" t="s">
        <v>657</v>
      </c>
      <c r="E52" s="8" t="s">
        <v>658</v>
      </c>
      <c r="F52" s="8" t="s">
        <v>659</v>
      </c>
      <c r="G52" s="8" t="s">
        <v>660</v>
      </c>
      <c r="H52" s="8" t="s">
        <v>661</v>
      </c>
    </row>
    <row r="53" customFormat="false" ht="15" hidden="false" customHeight="false" outlineLevel="0" collapsed="false">
      <c r="A53" s="24" t="s">
        <v>216</v>
      </c>
      <c r="B53" s="4" t="s">
        <v>359</v>
      </c>
      <c r="C53" s="4" t="n">
        <v>2</v>
      </c>
      <c r="D53" s="8" t="s">
        <v>662</v>
      </c>
      <c r="E53" s="8" t="s">
        <v>663</v>
      </c>
      <c r="F53" s="8" t="s">
        <v>664</v>
      </c>
      <c r="G53" s="29" t="s">
        <v>665</v>
      </c>
      <c r="H53" s="8" t="s">
        <v>666</v>
      </c>
    </row>
    <row r="54" customFormat="false" ht="15" hidden="false" customHeight="false" outlineLevel="0" collapsed="false">
      <c r="A54" s="23" t="s">
        <v>220</v>
      </c>
      <c r="B54" s="4" t="s">
        <v>367</v>
      </c>
      <c r="C54" s="4" t="n">
        <v>1</v>
      </c>
      <c r="D54" s="8" t="s">
        <v>667</v>
      </c>
      <c r="E54" s="8" t="s">
        <v>668</v>
      </c>
      <c r="F54" s="8" t="s">
        <v>669</v>
      </c>
      <c r="G54" s="8" t="s">
        <v>670</v>
      </c>
      <c r="H54" s="8" t="s">
        <v>671</v>
      </c>
    </row>
    <row r="55" customFormat="false" ht="15" hidden="false" customHeight="false" outlineLevel="0" collapsed="false">
      <c r="A55" s="24" t="s">
        <v>219</v>
      </c>
      <c r="B55" s="4" t="s">
        <v>367</v>
      </c>
      <c r="C55" s="4" t="n">
        <v>2</v>
      </c>
      <c r="D55" s="8" t="s">
        <v>672</v>
      </c>
      <c r="E55" s="8" t="s">
        <v>673</v>
      </c>
      <c r="F55" s="8" t="s">
        <v>674</v>
      </c>
      <c r="G55" s="8" t="s">
        <v>675</v>
      </c>
      <c r="H55" s="8" t="s">
        <v>676</v>
      </c>
    </row>
    <row r="56" customFormat="false" ht="15" hidden="false" customHeight="false" outlineLevel="0" collapsed="false">
      <c r="A56" s="24" t="s">
        <v>223</v>
      </c>
      <c r="B56" s="4" t="s">
        <v>371</v>
      </c>
      <c r="C56" s="4" t="n">
        <v>2</v>
      </c>
      <c r="D56" s="8" t="s">
        <v>677</v>
      </c>
      <c r="E56" s="8" t="s">
        <v>678</v>
      </c>
      <c r="F56" s="8" t="s">
        <v>679</v>
      </c>
      <c r="G56" s="8" t="s">
        <v>680</v>
      </c>
      <c r="H56" s="29" t="s">
        <v>681</v>
      </c>
    </row>
    <row r="57" customFormat="false" ht="15" hidden="false" customHeight="false" outlineLevel="0" collapsed="false">
      <c r="A57" s="24" t="s">
        <v>229</v>
      </c>
      <c r="B57" s="4" t="s">
        <v>371</v>
      </c>
      <c r="C57" s="4" t="n">
        <v>2</v>
      </c>
      <c r="D57" s="8" t="s">
        <v>682</v>
      </c>
      <c r="E57" s="8" t="s">
        <v>683</v>
      </c>
      <c r="F57" s="8" t="s">
        <v>684</v>
      </c>
      <c r="G57" s="8" t="s">
        <v>685</v>
      </c>
      <c r="H57" s="8" t="s">
        <v>686</v>
      </c>
    </row>
    <row r="58" customFormat="false" ht="15" hidden="false" customHeight="false" outlineLevel="0" collapsed="false">
      <c r="A58" s="25" t="s">
        <v>225</v>
      </c>
      <c r="B58" s="4" t="s">
        <v>371</v>
      </c>
      <c r="C58" s="4" t="n">
        <v>3</v>
      </c>
      <c r="D58" s="8" t="s">
        <v>687</v>
      </c>
      <c r="E58" s="8" t="s">
        <v>688</v>
      </c>
      <c r="F58" s="29" t="s">
        <v>689</v>
      </c>
      <c r="G58" s="8" t="s">
        <v>690</v>
      </c>
      <c r="H58" s="8" t="s">
        <v>691</v>
      </c>
    </row>
    <row r="59" customFormat="false" ht="15" hidden="false" customHeight="false" outlineLevel="0" collapsed="false">
      <c r="A59" s="25" t="s">
        <v>228</v>
      </c>
      <c r="B59" s="4" t="s">
        <v>371</v>
      </c>
      <c r="C59" s="4" t="n">
        <v>3</v>
      </c>
      <c r="D59" s="8" t="s">
        <v>692</v>
      </c>
      <c r="E59" s="8" t="s">
        <v>693</v>
      </c>
      <c r="F59" s="8" t="s">
        <v>694</v>
      </c>
      <c r="G59" s="8" t="s">
        <v>695</v>
      </c>
      <c r="H59" s="8" t="s">
        <v>696</v>
      </c>
    </row>
    <row r="60" customFormat="false" ht="15" hidden="false" customHeight="false" outlineLevel="0" collapsed="false">
      <c r="A60" s="26" t="s">
        <v>222</v>
      </c>
      <c r="B60" s="4" t="s">
        <v>371</v>
      </c>
      <c r="C60" s="4" t="n">
        <v>4</v>
      </c>
      <c r="D60" s="8" t="s">
        <v>697</v>
      </c>
      <c r="E60" s="8" t="s">
        <v>698</v>
      </c>
      <c r="F60" s="29" t="s">
        <v>699</v>
      </c>
      <c r="G60" s="8" t="s">
        <v>700</v>
      </c>
      <c r="H60" s="8" t="s">
        <v>701</v>
      </c>
    </row>
    <row r="61" customFormat="false" ht="15" hidden="false" customHeight="false" outlineLevel="0" collapsed="false">
      <c r="A61" s="27" t="s">
        <v>226</v>
      </c>
      <c r="B61" s="4" t="s">
        <v>371</v>
      </c>
      <c r="C61" s="4" t="n">
        <v>5</v>
      </c>
      <c r="D61" s="8" t="s">
        <v>702</v>
      </c>
      <c r="E61" s="29" t="s">
        <v>703</v>
      </c>
      <c r="F61" s="8" t="s">
        <v>704</v>
      </c>
      <c r="G61" s="8" t="s">
        <v>705</v>
      </c>
      <c r="H61" s="8" t="s">
        <v>706</v>
      </c>
    </row>
    <row r="62" customFormat="false" ht="15" hidden="false" customHeight="false" outlineLevel="0" collapsed="false">
      <c r="A62" s="27" t="s">
        <v>224</v>
      </c>
      <c r="B62" s="4" t="s">
        <v>371</v>
      </c>
      <c r="C62" s="4" t="n">
        <v>5</v>
      </c>
      <c r="D62" s="8" t="s">
        <v>707</v>
      </c>
      <c r="E62" s="8" t="s">
        <v>708</v>
      </c>
      <c r="F62" s="8" t="s">
        <v>709</v>
      </c>
      <c r="G62" s="8" t="s">
        <v>710</v>
      </c>
      <c r="H62" s="8" t="s">
        <v>711</v>
      </c>
    </row>
    <row r="63" customFormat="false" ht="15" hidden="false" customHeight="false" outlineLevel="0" collapsed="false">
      <c r="A63" s="28" t="s">
        <v>227</v>
      </c>
      <c r="B63" s="4" t="s">
        <v>371</v>
      </c>
      <c r="C63" s="4" t="n">
        <v>6</v>
      </c>
      <c r="D63" s="8" t="s">
        <v>712</v>
      </c>
      <c r="E63" s="8" t="s">
        <v>713</v>
      </c>
      <c r="F63" s="8" t="s">
        <v>714</v>
      </c>
      <c r="G63" s="8" t="s">
        <v>715</v>
      </c>
      <c r="H63" s="8" t="s">
        <v>716</v>
      </c>
    </row>
    <row r="64" customFormat="false" ht="15" hidden="false" customHeight="false" outlineLevel="0" collapsed="false">
      <c r="A64" s="28" t="s">
        <v>230</v>
      </c>
      <c r="B64" s="4" t="s">
        <v>371</v>
      </c>
      <c r="C64" s="4" t="n">
        <v>6</v>
      </c>
      <c r="D64" s="8" t="s">
        <v>717</v>
      </c>
      <c r="E64" s="29" t="s">
        <v>718</v>
      </c>
      <c r="F64" s="8" t="s">
        <v>719</v>
      </c>
      <c r="G64" s="8" t="s">
        <v>720</v>
      </c>
      <c r="H64" s="8" t="s">
        <v>721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4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4" min="2" style="0" width="26"/>
  </cols>
  <sheetData>
    <row r="1" customFormat="false" ht="17.35" hidden="false" customHeight="false" outlineLevel="0" collapsed="false">
      <c r="A1" s="1" t="s">
        <v>722</v>
      </c>
    </row>
    <row r="2" customFormat="false" ht="15" hidden="false" customHeight="false" outlineLevel="0" collapsed="false">
      <c r="A2" s="2" t="s">
        <v>723</v>
      </c>
    </row>
    <row r="4" customFormat="false" ht="15" hidden="false" customHeight="false" outlineLevel="0" collapsed="false">
      <c r="A4" s="3" t="s">
        <v>26</v>
      </c>
      <c r="B4" s="3" t="s">
        <v>3</v>
      </c>
    </row>
    <row r="5" customFormat="false" ht="15" hidden="false" customHeight="false" outlineLevel="0" collapsed="false">
      <c r="A5" s="4" t="s">
        <v>724</v>
      </c>
      <c r="B5" s="7" t="n">
        <v>30</v>
      </c>
    </row>
    <row r="6" customFormat="false" ht="15" hidden="false" customHeight="false" outlineLevel="0" collapsed="false">
      <c r="A6" s="4" t="s">
        <v>725</v>
      </c>
      <c r="B6" s="8" t="n">
        <f aca="false">480/B5</f>
        <v>16</v>
      </c>
    </row>
    <row r="7" customFormat="false" ht="15" hidden="false" customHeight="false" outlineLevel="0" collapsed="false">
      <c r="A7" s="4" t="s">
        <v>726</v>
      </c>
      <c r="B7" s="7" t="n">
        <v>36</v>
      </c>
    </row>
    <row r="8" customFormat="false" ht="15" hidden="false" customHeight="false" outlineLevel="0" collapsed="false">
      <c r="A8" s="4" t="s">
        <v>727</v>
      </c>
      <c r="B8" s="8" t="n">
        <f aca="false">B6*B7</f>
        <v>576</v>
      </c>
    </row>
    <row r="9" customFormat="false" ht="15" hidden="false" customHeight="false" outlineLevel="0" collapsed="false">
      <c r="A9" s="4" t="s">
        <v>728</v>
      </c>
      <c r="B9" s="7" t="n">
        <v>300</v>
      </c>
    </row>
    <row r="10" customFormat="false" ht="15" hidden="false" customHeight="false" outlineLevel="0" collapsed="false">
      <c r="A10" s="4" t="s">
        <v>729</v>
      </c>
      <c r="B10" s="30" t="n">
        <f aca="false">B8/B9</f>
        <v>1.92</v>
      </c>
    </row>
    <row r="11" customFormat="false" ht="15" hidden="false" customHeight="false" outlineLevel="0" collapsed="false">
      <c r="A11" s="4" t="s">
        <v>730</v>
      </c>
      <c r="B11" s="8" t="n">
        <f aca="false">B9*3</f>
        <v>900</v>
      </c>
    </row>
    <row r="12" customFormat="false" ht="15" hidden="false" customHeight="false" outlineLevel="0" collapsed="false">
      <c r="A12" s="4" t="s">
        <v>731</v>
      </c>
      <c r="B12" s="7" t="n">
        <v>20</v>
      </c>
    </row>
    <row r="14" customFormat="false" ht="15" hidden="false" customHeight="false" outlineLevel="0" collapsed="false">
      <c r="A14" s="6" t="s">
        <v>732</v>
      </c>
    </row>
    <row r="15" customFormat="false" ht="15" hidden="false" customHeight="false" outlineLevel="0" collapsed="false">
      <c r="A15" s="3" t="s">
        <v>733</v>
      </c>
      <c r="B15" s="3" t="s">
        <v>728</v>
      </c>
      <c r="C15" s="3" t="s">
        <v>734</v>
      </c>
    </row>
    <row r="16" customFormat="false" ht="15" hidden="false" customHeight="false" outlineLevel="0" collapsed="false">
      <c r="A16" s="4" t="s">
        <v>735</v>
      </c>
      <c r="B16" s="7" t="n">
        <v>35</v>
      </c>
      <c r="C16" s="10" t="n">
        <f aca="false">B16/$B$9</f>
        <v>0.116666666666667</v>
      </c>
    </row>
    <row r="17" customFormat="false" ht="15" hidden="false" customHeight="false" outlineLevel="0" collapsed="false">
      <c r="A17" s="4" t="s">
        <v>736</v>
      </c>
      <c r="B17" s="7" t="n">
        <v>254</v>
      </c>
      <c r="C17" s="10" t="n">
        <f aca="false">B17/$B$9</f>
        <v>0.846666666666667</v>
      </c>
    </row>
    <row r="18" customFormat="false" ht="15" hidden="false" customHeight="false" outlineLevel="0" collapsed="false">
      <c r="A18" s="4" t="s">
        <v>737</v>
      </c>
      <c r="B18" s="7" t="n">
        <v>11</v>
      </c>
      <c r="C18" s="10" t="n">
        <f aca="false">B18/$B$9</f>
        <v>0.0366666666666667</v>
      </c>
    </row>
    <row r="19" customFormat="false" ht="15" hidden="false" customHeight="false" outlineLevel="0" collapsed="false">
      <c r="A19" s="4" t="s">
        <v>738</v>
      </c>
      <c r="B19" s="8" t="n">
        <f aca="false">B9-SUM(B16:B18)</f>
        <v>0</v>
      </c>
      <c r="C19" s="10" t="n">
        <f aca="false">B19/$B$9</f>
        <v>0</v>
      </c>
    </row>
    <row r="21" customFormat="false" ht="15" hidden="false" customHeight="false" outlineLevel="0" collapsed="false">
      <c r="A21" s="6" t="s">
        <v>739</v>
      </c>
    </row>
    <row r="22" customFormat="false" ht="43.5" hidden="false" customHeight="true" outlineLevel="0" collapsed="false">
      <c r="A22" s="3" t="s">
        <v>740</v>
      </c>
      <c r="B22" s="3" t="s">
        <v>725</v>
      </c>
      <c r="C22" s="3" t="s">
        <v>727</v>
      </c>
      <c r="D22" s="3" t="s">
        <v>731</v>
      </c>
    </row>
    <row r="23" customFormat="false" ht="15" hidden="false" customHeight="false" outlineLevel="0" collapsed="false">
      <c r="A23" s="7" t="n">
        <v>30</v>
      </c>
      <c r="B23" s="8" t="n">
        <f aca="false">480/A23</f>
        <v>16</v>
      </c>
      <c r="C23" s="8" t="n">
        <f aca="false">B23*$B$7</f>
        <v>576</v>
      </c>
      <c r="D23" s="7" t="n">
        <v>20</v>
      </c>
    </row>
    <row r="24" customFormat="false" ht="15" hidden="false" customHeight="false" outlineLevel="0" collapsed="false">
      <c r="A24" s="7" t="n">
        <v>20</v>
      </c>
      <c r="B24" s="8" t="n">
        <f aca="false">480/A24</f>
        <v>24</v>
      </c>
      <c r="C24" s="8" t="n">
        <f aca="false">B24*$B$7</f>
        <v>864</v>
      </c>
      <c r="D24" s="7" t="n">
        <v>15</v>
      </c>
    </row>
    <row r="25" customFormat="false" ht="15" hidden="false" customHeight="false" outlineLevel="0" collapsed="false">
      <c r="A25" s="7" t="n">
        <v>15</v>
      </c>
      <c r="B25" s="8" t="n">
        <f aca="false">480/A25</f>
        <v>32</v>
      </c>
      <c r="C25" s="8" t="n">
        <f aca="false">B25*$B$7</f>
        <v>1152</v>
      </c>
      <c r="D25" s="7" t="n">
        <v>10</v>
      </c>
    </row>
    <row r="27" customFormat="false" ht="15" hidden="false" customHeight="false" outlineLevel="0" collapsed="false">
      <c r="A27" s="6" t="s">
        <v>741</v>
      </c>
    </row>
    <row r="28" customFormat="false" ht="15" hidden="false" customHeight="false" outlineLevel="0" collapsed="false">
      <c r="A28" s="3" t="s">
        <v>67</v>
      </c>
      <c r="B28" s="3" t="s">
        <v>742</v>
      </c>
      <c r="C28" s="3" t="s">
        <v>743</v>
      </c>
      <c r="D28" s="3" t="s">
        <v>744</v>
      </c>
    </row>
    <row r="29" customFormat="false" ht="15" hidden="false" customHeight="false" outlineLevel="0" collapsed="false">
      <c r="A29" s="4" t="s">
        <v>745</v>
      </c>
      <c r="B29" s="4" t="s">
        <v>746</v>
      </c>
      <c r="C29" s="4" t="s">
        <v>747</v>
      </c>
      <c r="D29" s="4" t="s">
        <v>748</v>
      </c>
    </row>
    <row r="30" customFormat="false" ht="15" hidden="false" customHeight="false" outlineLevel="0" collapsed="false">
      <c r="A30" s="4" t="s">
        <v>749</v>
      </c>
      <c r="B30" s="4" t="s">
        <v>750</v>
      </c>
      <c r="C30" s="4" t="s">
        <v>751</v>
      </c>
      <c r="D30" s="4" t="s">
        <v>752</v>
      </c>
    </row>
    <row r="31" customFormat="false" ht="15" hidden="false" customHeight="false" outlineLevel="0" collapsed="false">
      <c r="A31" s="4" t="s">
        <v>753</v>
      </c>
      <c r="B31" s="4" t="s">
        <v>754</v>
      </c>
      <c r="C31" s="4" t="s">
        <v>755</v>
      </c>
      <c r="D31" s="4" t="s">
        <v>756</v>
      </c>
    </row>
    <row r="32" customFormat="false" ht="15" hidden="false" customHeight="false" outlineLevel="0" collapsed="false">
      <c r="A32" s="4" t="s">
        <v>757</v>
      </c>
      <c r="B32" s="4" t="s">
        <v>758</v>
      </c>
      <c r="C32" s="4" t="s">
        <v>759</v>
      </c>
      <c r="D32" s="4" t="s">
        <v>760</v>
      </c>
    </row>
    <row r="33" customFormat="false" ht="15" hidden="false" customHeight="false" outlineLevel="0" collapsed="false">
      <c r="A33" s="4" t="s">
        <v>761</v>
      </c>
      <c r="B33" s="4" t="s">
        <v>762</v>
      </c>
      <c r="C33" s="4" t="s">
        <v>763</v>
      </c>
      <c r="D33" s="4" t="s">
        <v>764</v>
      </c>
    </row>
    <row r="34" customFormat="false" ht="15" hidden="false" customHeight="false" outlineLevel="0" collapsed="false">
      <c r="A34" s="4" t="s">
        <v>765</v>
      </c>
      <c r="B34" s="4" t="s">
        <v>766</v>
      </c>
      <c r="C34" s="4" t="s">
        <v>767</v>
      </c>
      <c r="D34" s="4" t="s">
        <v>768</v>
      </c>
    </row>
    <row r="35" customFormat="false" ht="15" hidden="false" customHeight="false" outlineLevel="0" collapsed="false">
      <c r="A35" s="4" t="s">
        <v>769</v>
      </c>
      <c r="B35" s="4" t="s">
        <v>770</v>
      </c>
      <c r="C35" s="4" t="s">
        <v>771</v>
      </c>
      <c r="D35" s="4" t="s">
        <v>772</v>
      </c>
    </row>
    <row r="36" customFormat="false" ht="15" hidden="false" customHeight="false" outlineLevel="0" collapsed="false">
      <c r="A36" s="4" t="s">
        <v>773</v>
      </c>
      <c r="B36" s="4" t="s">
        <v>774</v>
      </c>
      <c r="C36" s="4" t="s">
        <v>775</v>
      </c>
      <c r="D36" s="4" t="s">
        <v>776</v>
      </c>
    </row>
    <row r="37" customFormat="false" ht="15" hidden="false" customHeight="false" outlineLevel="0" collapsed="false">
      <c r="A37" s="4" t="s">
        <v>777</v>
      </c>
      <c r="B37" s="4" t="s">
        <v>778</v>
      </c>
      <c r="C37" s="4" t="s">
        <v>779</v>
      </c>
      <c r="D37" s="4" t="s">
        <v>780</v>
      </c>
    </row>
    <row r="38" customFormat="false" ht="15" hidden="false" customHeight="false" outlineLevel="0" collapsed="false">
      <c r="A38" s="4" t="s">
        <v>781</v>
      </c>
      <c r="B38" s="4" t="s">
        <v>782</v>
      </c>
      <c r="C38" s="4" t="s">
        <v>783</v>
      </c>
      <c r="D38" s="4" t="s">
        <v>784</v>
      </c>
    </row>
    <row r="39" customFormat="false" ht="15" hidden="false" customHeight="false" outlineLevel="0" collapsed="false">
      <c r="A39" s="4" t="s">
        <v>785</v>
      </c>
      <c r="B39" s="4" t="s">
        <v>786</v>
      </c>
      <c r="C39" s="4" t="s">
        <v>787</v>
      </c>
      <c r="D39" s="4" t="s">
        <v>788</v>
      </c>
    </row>
    <row r="40" customFormat="false" ht="15" hidden="false" customHeight="false" outlineLevel="0" collapsed="false">
      <c r="A40" s="4" t="s">
        <v>789</v>
      </c>
      <c r="B40" s="4" t="s">
        <v>790</v>
      </c>
      <c r="C40" s="4" t="s">
        <v>791</v>
      </c>
      <c r="D40" s="4" t="s">
        <v>792</v>
      </c>
    </row>
    <row r="42" customFormat="false" ht="15" hidden="false" customHeight="false" outlineLevel="0" collapsed="false">
      <c r="A42" s="6" t="s">
        <v>793</v>
      </c>
    </row>
    <row r="43" customFormat="false" ht="15" hidden="false" customHeight="false" outlineLevel="0" collapsed="false">
      <c r="A43" s="2" t="s">
        <v>794</v>
      </c>
    </row>
    <row r="44" customFormat="false" ht="15" hidden="false" customHeight="false" outlineLevel="0" collapsed="false">
      <c r="A44" s="2" t="s">
        <v>795</v>
      </c>
    </row>
    <row r="45" customFormat="false" ht="15" hidden="false" customHeight="false" outlineLevel="0" collapsed="false">
      <c r="A45" s="2" t="s">
        <v>796</v>
      </c>
    </row>
    <row r="46" customFormat="false" ht="15" hidden="false" customHeight="false" outlineLevel="0" collapsed="false">
      <c r="A46" s="2" t="s">
        <v>797</v>
      </c>
    </row>
    <row r="47" customFormat="false" ht="15" hidden="false" customHeight="false" outlineLevel="0" collapsed="false">
      <c r="A47" s="2" t="s">
        <v>798</v>
      </c>
    </row>
    <row r="48" customFormat="false" ht="15" hidden="false" customHeight="false" outlineLevel="0" collapsed="false">
      <c r="A48" s="2" t="s">
        <v>799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3" topLeftCell="A4" activePane="bottomLeft" state="frozen"/>
      <selection pane="topLeft" activeCell="A1" activeCellId="0" sqref="A1"/>
      <selection pane="bottom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7"/>
    <col collapsed="false" customWidth="true" hidden="false" outlineLevel="0" max="3" min="3" style="0" width="22"/>
    <col collapsed="false" customWidth="true" hidden="false" outlineLevel="0" max="4" min="4" style="0" width="14"/>
    <col collapsed="false" customWidth="true" hidden="false" outlineLevel="0" max="5" min="5" style="0" width="10"/>
    <col collapsed="false" customWidth="true" hidden="false" outlineLevel="0" max="6" min="6" style="0" width="26"/>
  </cols>
  <sheetData>
    <row r="1" customFormat="false" ht="17.35" hidden="false" customHeight="false" outlineLevel="0" collapsed="false">
      <c r="A1" s="1" t="s">
        <v>800</v>
      </c>
    </row>
    <row r="3" customFormat="false" ht="26.85" hidden="false" customHeight="false" outlineLevel="0" collapsed="false">
      <c r="A3" s="3" t="s">
        <v>76</v>
      </c>
      <c r="B3" s="3" t="s">
        <v>77</v>
      </c>
      <c r="C3" s="3" t="s">
        <v>801</v>
      </c>
      <c r="D3" s="3" t="s">
        <v>137</v>
      </c>
      <c r="E3" s="3" t="s">
        <v>802</v>
      </c>
      <c r="F3" s="3" t="s">
        <v>803</v>
      </c>
    </row>
    <row r="4" customFormat="false" ht="15" hidden="false" customHeight="false" outlineLevel="0" collapsed="false">
      <c r="A4" s="4" t="s">
        <v>804</v>
      </c>
      <c r="B4" s="4" t="s">
        <v>805</v>
      </c>
      <c r="C4" s="4" t="s">
        <v>744</v>
      </c>
      <c r="D4" s="4" t="s">
        <v>161</v>
      </c>
      <c r="E4" s="4" t="s">
        <v>496</v>
      </c>
      <c r="F4" s="4" t="s">
        <v>806</v>
      </c>
    </row>
    <row r="5" customFormat="false" ht="15" hidden="false" customHeight="false" outlineLevel="0" collapsed="false">
      <c r="A5" s="4" t="s">
        <v>804</v>
      </c>
      <c r="B5" s="4" t="s">
        <v>805</v>
      </c>
      <c r="C5" s="4" t="s">
        <v>744</v>
      </c>
      <c r="D5" s="4" t="s">
        <v>167</v>
      </c>
      <c r="E5" s="4" t="s">
        <v>501</v>
      </c>
      <c r="F5" s="4" t="s">
        <v>806</v>
      </c>
    </row>
    <row r="6" customFormat="false" ht="15" hidden="false" customHeight="false" outlineLevel="0" collapsed="false">
      <c r="A6" s="4" t="s">
        <v>804</v>
      </c>
      <c r="B6" s="4" t="s">
        <v>805</v>
      </c>
      <c r="C6" s="4" t="s">
        <v>744</v>
      </c>
      <c r="D6" s="4" t="s">
        <v>168</v>
      </c>
      <c r="E6" s="4" t="s">
        <v>426</v>
      </c>
      <c r="F6" s="4" t="s">
        <v>807</v>
      </c>
    </row>
    <row r="7" customFormat="false" ht="15" hidden="false" customHeight="false" outlineLevel="0" collapsed="false">
      <c r="A7" s="4" t="s">
        <v>804</v>
      </c>
      <c r="B7" s="4" t="s">
        <v>805</v>
      </c>
      <c r="C7" s="4" t="s">
        <v>744</v>
      </c>
      <c r="D7" s="4" t="s">
        <v>172</v>
      </c>
      <c r="E7" s="4" t="s">
        <v>516</v>
      </c>
      <c r="F7" s="4" t="s">
        <v>808</v>
      </c>
    </row>
    <row r="8" customFormat="false" ht="15" hidden="false" customHeight="false" outlineLevel="0" collapsed="false">
      <c r="A8" s="4" t="s">
        <v>804</v>
      </c>
      <c r="B8" s="4" t="s">
        <v>805</v>
      </c>
      <c r="C8" s="4" t="s">
        <v>744</v>
      </c>
      <c r="D8" s="4" t="s">
        <v>175</v>
      </c>
      <c r="E8" s="4" t="s">
        <v>471</v>
      </c>
      <c r="F8" s="4" t="s">
        <v>809</v>
      </c>
    </row>
    <row r="9" customFormat="false" ht="15" hidden="false" customHeight="false" outlineLevel="0" collapsed="false">
      <c r="A9" s="4" t="s">
        <v>804</v>
      </c>
      <c r="B9" s="4" t="s">
        <v>805</v>
      </c>
      <c r="C9" s="4" t="s">
        <v>744</v>
      </c>
      <c r="D9" s="4" t="s">
        <v>184</v>
      </c>
      <c r="E9" s="4" t="s">
        <v>466</v>
      </c>
      <c r="F9" s="4" t="s">
        <v>809</v>
      </c>
    </row>
    <row r="10" customFormat="false" ht="15" hidden="false" customHeight="false" outlineLevel="0" collapsed="false">
      <c r="A10" s="4" t="s">
        <v>804</v>
      </c>
      <c r="B10" s="4" t="s">
        <v>805</v>
      </c>
      <c r="C10" s="4" t="s">
        <v>744</v>
      </c>
      <c r="D10" s="4" t="s">
        <v>185</v>
      </c>
      <c r="E10" s="4" t="s">
        <v>491</v>
      </c>
      <c r="F10" s="4" t="s">
        <v>806</v>
      </c>
    </row>
    <row r="11" customFormat="false" ht="15" hidden="false" customHeight="false" outlineLevel="0" collapsed="false">
      <c r="A11" s="4" t="s">
        <v>804</v>
      </c>
      <c r="B11" s="4" t="s">
        <v>805</v>
      </c>
      <c r="C11" s="4" t="s">
        <v>744</v>
      </c>
      <c r="D11" s="4" t="s">
        <v>186</v>
      </c>
      <c r="E11" s="4" t="s">
        <v>511</v>
      </c>
      <c r="F11" s="4" t="s">
        <v>810</v>
      </c>
    </row>
    <row r="12" customFormat="false" ht="15" hidden="false" customHeight="false" outlineLevel="0" collapsed="false">
      <c r="A12" s="4" t="s">
        <v>804</v>
      </c>
      <c r="B12" s="4" t="s">
        <v>805</v>
      </c>
      <c r="C12" s="4" t="s">
        <v>744</v>
      </c>
      <c r="D12" s="4" t="s">
        <v>188</v>
      </c>
      <c r="E12" s="4" t="s">
        <v>596</v>
      </c>
      <c r="F12" s="4" t="s">
        <v>811</v>
      </c>
    </row>
    <row r="13" customFormat="false" ht="15" hidden="false" customHeight="false" outlineLevel="0" collapsed="false">
      <c r="A13" s="4" t="s">
        <v>804</v>
      </c>
      <c r="B13" s="4" t="s">
        <v>805</v>
      </c>
      <c r="C13" s="4" t="s">
        <v>744</v>
      </c>
      <c r="D13" s="4" t="s">
        <v>197</v>
      </c>
      <c r="E13" s="4" t="s">
        <v>611</v>
      </c>
      <c r="F13" s="4" t="s">
        <v>812</v>
      </c>
    </row>
    <row r="14" customFormat="false" ht="15" hidden="false" customHeight="false" outlineLevel="0" collapsed="false">
      <c r="A14" s="4" t="s">
        <v>804</v>
      </c>
      <c r="B14" s="4" t="s">
        <v>805</v>
      </c>
      <c r="C14" s="4" t="s">
        <v>744</v>
      </c>
      <c r="D14" s="4" t="s">
        <v>199</v>
      </c>
      <c r="E14" s="4" t="s">
        <v>616</v>
      </c>
      <c r="F14" s="4" t="s">
        <v>813</v>
      </c>
    </row>
    <row r="15" customFormat="false" ht="15" hidden="false" customHeight="false" outlineLevel="0" collapsed="false">
      <c r="A15" s="4" t="s">
        <v>804</v>
      </c>
      <c r="B15" s="4" t="s">
        <v>805</v>
      </c>
      <c r="C15" s="4" t="s">
        <v>744</v>
      </c>
      <c r="D15" s="4" t="s">
        <v>203</v>
      </c>
      <c r="E15" s="4" t="s">
        <v>631</v>
      </c>
      <c r="F15" s="4" t="s">
        <v>814</v>
      </c>
    </row>
    <row r="16" customFormat="false" ht="15" hidden="false" customHeight="false" outlineLevel="0" collapsed="false">
      <c r="A16" s="4" t="s">
        <v>804</v>
      </c>
      <c r="B16" s="4" t="s">
        <v>805</v>
      </c>
      <c r="C16" s="4" t="s">
        <v>744</v>
      </c>
      <c r="D16" s="4" t="s">
        <v>205</v>
      </c>
      <c r="E16" s="4" t="s">
        <v>561</v>
      </c>
      <c r="F16" s="4" t="s">
        <v>815</v>
      </c>
    </row>
    <row r="17" customFormat="false" ht="15" hidden="false" customHeight="false" outlineLevel="0" collapsed="false">
      <c r="A17" s="4" t="s">
        <v>804</v>
      </c>
      <c r="B17" s="4" t="s">
        <v>805</v>
      </c>
      <c r="C17" s="4" t="s">
        <v>744</v>
      </c>
      <c r="D17" s="4" t="s">
        <v>214</v>
      </c>
      <c r="E17" s="4" t="s">
        <v>666</v>
      </c>
      <c r="F17" s="4" t="s">
        <v>816</v>
      </c>
    </row>
    <row r="18" customFormat="false" ht="15" hidden="false" customHeight="false" outlineLevel="0" collapsed="false">
      <c r="A18" s="4" t="s">
        <v>804</v>
      </c>
      <c r="B18" s="4" t="s">
        <v>805</v>
      </c>
      <c r="C18" s="4" t="s">
        <v>744</v>
      </c>
      <c r="D18" s="4" t="s">
        <v>215</v>
      </c>
      <c r="E18" s="4" t="s">
        <v>601</v>
      </c>
      <c r="F18" s="4" t="s">
        <v>812</v>
      </c>
    </row>
    <row r="19" customFormat="false" ht="15" hidden="false" customHeight="false" outlineLevel="0" collapsed="false">
      <c r="A19" s="4" t="s">
        <v>804</v>
      </c>
      <c r="B19" s="4" t="s">
        <v>805</v>
      </c>
      <c r="C19" s="4" t="s">
        <v>744</v>
      </c>
      <c r="D19" s="4" t="s">
        <v>218</v>
      </c>
      <c r="E19" s="4" t="s">
        <v>691</v>
      </c>
      <c r="F19" s="4" t="s">
        <v>817</v>
      </c>
    </row>
    <row r="20" customFormat="false" ht="15" hidden="false" customHeight="false" outlineLevel="0" collapsed="false">
      <c r="A20" s="4" t="s">
        <v>818</v>
      </c>
      <c r="B20" s="4" t="s">
        <v>819</v>
      </c>
      <c r="C20" s="4" t="s">
        <v>742</v>
      </c>
      <c r="D20" s="4" t="s">
        <v>161</v>
      </c>
      <c r="E20" s="4" t="s">
        <v>497</v>
      </c>
      <c r="F20" s="4" t="s">
        <v>806</v>
      </c>
    </row>
    <row r="21" customFormat="false" ht="15" hidden="false" customHeight="false" outlineLevel="0" collapsed="false">
      <c r="A21" s="4" t="s">
        <v>818</v>
      </c>
      <c r="B21" s="4" t="s">
        <v>819</v>
      </c>
      <c r="C21" s="4" t="s">
        <v>742</v>
      </c>
      <c r="D21" s="4" t="s">
        <v>167</v>
      </c>
      <c r="E21" s="4" t="s">
        <v>492</v>
      </c>
      <c r="F21" s="4" t="s">
        <v>806</v>
      </c>
    </row>
    <row r="22" customFormat="false" ht="15" hidden="false" customHeight="false" outlineLevel="0" collapsed="false">
      <c r="A22" s="4" t="s">
        <v>818</v>
      </c>
      <c r="B22" s="4" t="s">
        <v>819</v>
      </c>
      <c r="C22" s="4" t="s">
        <v>742</v>
      </c>
      <c r="D22" s="4" t="s">
        <v>168</v>
      </c>
      <c r="E22" s="4" t="s">
        <v>422</v>
      </c>
      <c r="F22" s="4" t="s">
        <v>807</v>
      </c>
    </row>
    <row r="23" customFormat="false" ht="15" hidden="false" customHeight="false" outlineLevel="0" collapsed="false">
      <c r="A23" s="4" t="s">
        <v>818</v>
      </c>
      <c r="B23" s="4" t="s">
        <v>819</v>
      </c>
      <c r="C23" s="4" t="s">
        <v>742</v>
      </c>
      <c r="D23" s="4" t="s">
        <v>172</v>
      </c>
      <c r="E23" s="4" t="s">
        <v>517</v>
      </c>
      <c r="F23" s="4" t="s">
        <v>808</v>
      </c>
    </row>
    <row r="24" customFormat="false" ht="15" hidden="false" customHeight="false" outlineLevel="0" collapsed="false">
      <c r="A24" s="4" t="s">
        <v>818</v>
      </c>
      <c r="B24" s="4" t="s">
        <v>819</v>
      </c>
      <c r="C24" s="4" t="s">
        <v>742</v>
      </c>
      <c r="D24" s="4" t="s">
        <v>175</v>
      </c>
      <c r="E24" s="4" t="s">
        <v>462</v>
      </c>
      <c r="F24" s="4" t="s">
        <v>809</v>
      </c>
    </row>
    <row r="25" customFormat="false" ht="15" hidden="false" customHeight="false" outlineLevel="0" collapsed="false">
      <c r="A25" s="4" t="s">
        <v>818</v>
      </c>
      <c r="B25" s="4" t="s">
        <v>819</v>
      </c>
      <c r="C25" s="4" t="s">
        <v>742</v>
      </c>
      <c r="D25" s="4" t="s">
        <v>184</v>
      </c>
      <c r="E25" s="4" t="s">
        <v>477</v>
      </c>
      <c r="F25" s="4" t="s">
        <v>809</v>
      </c>
    </row>
    <row r="26" customFormat="false" ht="15" hidden="false" customHeight="false" outlineLevel="0" collapsed="false">
      <c r="A26" s="4" t="s">
        <v>818</v>
      </c>
      <c r="B26" s="4" t="s">
        <v>819</v>
      </c>
      <c r="C26" s="4" t="s">
        <v>742</v>
      </c>
      <c r="D26" s="4" t="s">
        <v>185</v>
      </c>
      <c r="E26" s="4" t="s">
        <v>487</v>
      </c>
      <c r="F26" s="4" t="s">
        <v>806</v>
      </c>
    </row>
    <row r="27" customFormat="false" ht="15" hidden="false" customHeight="false" outlineLevel="0" collapsed="false">
      <c r="A27" s="4" t="s">
        <v>818</v>
      </c>
      <c r="B27" s="4" t="s">
        <v>819</v>
      </c>
      <c r="C27" s="4" t="s">
        <v>742</v>
      </c>
      <c r="D27" s="4" t="s">
        <v>186</v>
      </c>
      <c r="E27" s="4" t="s">
        <v>507</v>
      </c>
      <c r="F27" s="4" t="s">
        <v>810</v>
      </c>
    </row>
    <row r="28" customFormat="false" ht="15" hidden="false" customHeight="false" outlineLevel="0" collapsed="false">
      <c r="A28" s="4" t="s">
        <v>818</v>
      </c>
      <c r="B28" s="4" t="s">
        <v>819</v>
      </c>
      <c r="C28" s="4" t="s">
        <v>742</v>
      </c>
      <c r="D28" s="4" t="s">
        <v>188</v>
      </c>
      <c r="E28" s="4" t="s">
        <v>592</v>
      </c>
      <c r="F28" s="4" t="s">
        <v>811</v>
      </c>
    </row>
    <row r="29" customFormat="false" ht="15" hidden="false" customHeight="false" outlineLevel="0" collapsed="false">
      <c r="A29" s="4" t="s">
        <v>818</v>
      </c>
      <c r="B29" s="4" t="s">
        <v>819</v>
      </c>
      <c r="C29" s="4" t="s">
        <v>742</v>
      </c>
      <c r="D29" s="4" t="s">
        <v>197</v>
      </c>
      <c r="E29" s="4" t="s">
        <v>597</v>
      </c>
      <c r="F29" s="4" t="s">
        <v>812</v>
      </c>
    </row>
    <row r="30" customFormat="false" ht="15" hidden="false" customHeight="false" outlineLevel="0" collapsed="false">
      <c r="A30" s="4" t="s">
        <v>818</v>
      </c>
      <c r="B30" s="4" t="s">
        <v>819</v>
      </c>
      <c r="C30" s="4" t="s">
        <v>742</v>
      </c>
      <c r="D30" s="4" t="s">
        <v>199</v>
      </c>
      <c r="E30" s="4" t="s">
        <v>612</v>
      </c>
      <c r="F30" s="4" t="s">
        <v>813</v>
      </c>
    </row>
    <row r="31" customFormat="false" ht="15" hidden="false" customHeight="false" outlineLevel="0" collapsed="false">
      <c r="A31" s="4" t="s">
        <v>818</v>
      </c>
      <c r="B31" s="4" t="s">
        <v>819</v>
      </c>
      <c r="C31" s="4" t="s">
        <v>742</v>
      </c>
      <c r="D31" s="4" t="s">
        <v>203</v>
      </c>
      <c r="E31" s="4" t="s">
        <v>627</v>
      </c>
      <c r="F31" s="4" t="s">
        <v>814</v>
      </c>
    </row>
    <row r="32" customFormat="false" ht="15" hidden="false" customHeight="false" outlineLevel="0" collapsed="false">
      <c r="A32" s="4" t="s">
        <v>818</v>
      </c>
      <c r="B32" s="4" t="s">
        <v>819</v>
      </c>
      <c r="C32" s="4" t="s">
        <v>742</v>
      </c>
      <c r="D32" s="4" t="s">
        <v>205</v>
      </c>
      <c r="E32" s="4" t="s">
        <v>552</v>
      </c>
      <c r="F32" s="4" t="s">
        <v>815</v>
      </c>
    </row>
    <row r="33" customFormat="false" ht="15" hidden="false" customHeight="false" outlineLevel="0" collapsed="false">
      <c r="A33" s="4" t="s">
        <v>818</v>
      </c>
      <c r="B33" s="4" t="s">
        <v>819</v>
      </c>
      <c r="C33" s="4" t="s">
        <v>742</v>
      </c>
      <c r="D33" s="4" t="s">
        <v>214</v>
      </c>
      <c r="E33" s="4" t="s">
        <v>662</v>
      </c>
      <c r="F33" s="4" t="s">
        <v>816</v>
      </c>
    </row>
    <row r="34" customFormat="false" ht="15" hidden="false" customHeight="false" outlineLevel="0" collapsed="false">
      <c r="A34" s="4" t="s">
        <v>818</v>
      </c>
      <c r="B34" s="4" t="s">
        <v>819</v>
      </c>
      <c r="C34" s="4" t="s">
        <v>742</v>
      </c>
      <c r="D34" s="4" t="s">
        <v>215</v>
      </c>
      <c r="E34" s="4" t="s">
        <v>602</v>
      </c>
      <c r="F34" s="4" t="s">
        <v>812</v>
      </c>
    </row>
    <row r="35" customFormat="false" ht="15" hidden="false" customHeight="false" outlineLevel="0" collapsed="false">
      <c r="A35" s="4" t="s">
        <v>818</v>
      </c>
      <c r="B35" s="4" t="s">
        <v>819</v>
      </c>
      <c r="C35" s="4" t="s">
        <v>742</v>
      </c>
      <c r="D35" s="4" t="s">
        <v>218</v>
      </c>
      <c r="E35" s="4" t="s">
        <v>682</v>
      </c>
      <c r="F35" s="4" t="s">
        <v>817</v>
      </c>
    </row>
    <row r="36" customFormat="false" ht="15" hidden="false" customHeight="false" outlineLevel="0" collapsed="false">
      <c r="A36" s="4" t="s">
        <v>820</v>
      </c>
      <c r="B36" s="4" t="s">
        <v>821</v>
      </c>
      <c r="C36" s="4" t="s">
        <v>743</v>
      </c>
      <c r="D36" s="4" t="s">
        <v>161</v>
      </c>
      <c r="E36" s="4" t="s">
        <v>494</v>
      </c>
      <c r="F36" s="4" t="s">
        <v>806</v>
      </c>
    </row>
    <row r="37" customFormat="false" ht="15" hidden="false" customHeight="false" outlineLevel="0" collapsed="false">
      <c r="A37" s="4" t="s">
        <v>820</v>
      </c>
      <c r="B37" s="4" t="s">
        <v>821</v>
      </c>
      <c r="C37" s="4" t="s">
        <v>743</v>
      </c>
      <c r="D37" s="4" t="s">
        <v>167</v>
      </c>
      <c r="E37" s="4" t="s">
        <v>499</v>
      </c>
      <c r="F37" s="4" t="s">
        <v>806</v>
      </c>
    </row>
    <row r="38" customFormat="false" ht="15" hidden="false" customHeight="false" outlineLevel="0" collapsed="false">
      <c r="A38" s="4" t="s">
        <v>820</v>
      </c>
      <c r="B38" s="4" t="s">
        <v>821</v>
      </c>
      <c r="C38" s="4" t="s">
        <v>743</v>
      </c>
      <c r="D38" s="4" t="s">
        <v>168</v>
      </c>
      <c r="E38" s="4" t="s">
        <v>424</v>
      </c>
      <c r="F38" s="4" t="s">
        <v>807</v>
      </c>
    </row>
    <row r="39" customFormat="false" ht="15" hidden="false" customHeight="false" outlineLevel="0" collapsed="false">
      <c r="A39" s="4" t="s">
        <v>820</v>
      </c>
      <c r="B39" s="4" t="s">
        <v>821</v>
      </c>
      <c r="C39" s="4" t="s">
        <v>743</v>
      </c>
      <c r="D39" s="4" t="s">
        <v>172</v>
      </c>
      <c r="E39" s="4" t="s">
        <v>454</v>
      </c>
      <c r="F39" s="4" t="s">
        <v>822</v>
      </c>
    </row>
    <row r="40" customFormat="false" ht="15" hidden="false" customHeight="false" outlineLevel="0" collapsed="false">
      <c r="A40" s="4" t="s">
        <v>820</v>
      </c>
      <c r="B40" s="4" t="s">
        <v>821</v>
      </c>
      <c r="C40" s="4" t="s">
        <v>743</v>
      </c>
      <c r="D40" s="4" t="s">
        <v>175</v>
      </c>
      <c r="E40" s="4" t="s">
        <v>469</v>
      </c>
      <c r="F40" s="4" t="s">
        <v>809</v>
      </c>
    </row>
    <row r="41" customFormat="false" ht="15" hidden="false" customHeight="false" outlineLevel="0" collapsed="false">
      <c r="A41" s="4" t="s">
        <v>820</v>
      </c>
      <c r="B41" s="4" t="s">
        <v>821</v>
      </c>
      <c r="C41" s="4" t="s">
        <v>743</v>
      </c>
      <c r="D41" s="4" t="s">
        <v>184</v>
      </c>
      <c r="E41" s="4" t="s">
        <v>464</v>
      </c>
      <c r="F41" s="4" t="s">
        <v>809</v>
      </c>
    </row>
    <row r="42" customFormat="false" ht="15" hidden="false" customHeight="false" outlineLevel="0" collapsed="false">
      <c r="A42" s="4" t="s">
        <v>820</v>
      </c>
      <c r="B42" s="4" t="s">
        <v>821</v>
      </c>
      <c r="C42" s="4" t="s">
        <v>743</v>
      </c>
      <c r="D42" s="4" t="s">
        <v>185</v>
      </c>
      <c r="E42" s="4" t="s">
        <v>489</v>
      </c>
      <c r="F42" s="4" t="s">
        <v>806</v>
      </c>
    </row>
    <row r="43" customFormat="false" ht="15" hidden="false" customHeight="false" outlineLevel="0" collapsed="false">
      <c r="A43" s="4" t="s">
        <v>820</v>
      </c>
      <c r="B43" s="4" t="s">
        <v>821</v>
      </c>
      <c r="C43" s="4" t="s">
        <v>743</v>
      </c>
      <c r="D43" s="4" t="s">
        <v>186</v>
      </c>
      <c r="E43" s="4" t="s">
        <v>504</v>
      </c>
      <c r="F43" s="4" t="s">
        <v>810</v>
      </c>
    </row>
    <row r="44" customFormat="false" ht="15" hidden="false" customHeight="false" outlineLevel="0" collapsed="false">
      <c r="A44" s="4" t="s">
        <v>820</v>
      </c>
      <c r="B44" s="4" t="s">
        <v>821</v>
      </c>
      <c r="C44" s="4" t="s">
        <v>743</v>
      </c>
      <c r="D44" s="4" t="s">
        <v>188</v>
      </c>
      <c r="E44" s="4" t="s">
        <v>594</v>
      </c>
      <c r="F44" s="4" t="s">
        <v>811</v>
      </c>
    </row>
    <row r="45" customFormat="false" ht="15" hidden="false" customHeight="false" outlineLevel="0" collapsed="false">
      <c r="A45" s="4" t="s">
        <v>820</v>
      </c>
      <c r="B45" s="4" t="s">
        <v>821</v>
      </c>
      <c r="C45" s="4" t="s">
        <v>743</v>
      </c>
      <c r="D45" s="4" t="s">
        <v>197</v>
      </c>
      <c r="E45" s="4" t="s">
        <v>604</v>
      </c>
      <c r="F45" s="4" t="s">
        <v>812</v>
      </c>
    </row>
    <row r="46" customFormat="false" ht="15" hidden="false" customHeight="false" outlineLevel="0" collapsed="false">
      <c r="A46" s="4" t="s">
        <v>820</v>
      </c>
      <c r="B46" s="4" t="s">
        <v>821</v>
      </c>
      <c r="C46" s="4" t="s">
        <v>743</v>
      </c>
      <c r="D46" s="4" t="s">
        <v>199</v>
      </c>
      <c r="E46" s="4" t="s">
        <v>614</v>
      </c>
      <c r="F46" s="4" t="s">
        <v>813</v>
      </c>
    </row>
    <row r="47" customFormat="false" ht="15" hidden="false" customHeight="false" outlineLevel="0" collapsed="false">
      <c r="A47" s="4" t="s">
        <v>820</v>
      </c>
      <c r="B47" s="4" t="s">
        <v>821</v>
      </c>
      <c r="C47" s="4" t="s">
        <v>743</v>
      </c>
      <c r="D47" s="4" t="s">
        <v>203</v>
      </c>
      <c r="E47" s="4" t="s">
        <v>624</v>
      </c>
      <c r="F47" s="4" t="s">
        <v>814</v>
      </c>
    </row>
    <row r="48" customFormat="false" ht="15" hidden="false" customHeight="false" outlineLevel="0" collapsed="false">
      <c r="A48" s="4" t="s">
        <v>820</v>
      </c>
      <c r="B48" s="4" t="s">
        <v>821</v>
      </c>
      <c r="C48" s="4" t="s">
        <v>743</v>
      </c>
      <c r="D48" s="4" t="s">
        <v>205</v>
      </c>
      <c r="E48" s="4" t="s">
        <v>564</v>
      </c>
      <c r="F48" s="4" t="s">
        <v>815</v>
      </c>
    </row>
    <row r="49" customFormat="false" ht="15" hidden="false" customHeight="false" outlineLevel="0" collapsed="false">
      <c r="A49" s="4" t="s">
        <v>820</v>
      </c>
      <c r="B49" s="4" t="s">
        <v>821</v>
      </c>
      <c r="C49" s="4" t="s">
        <v>743</v>
      </c>
      <c r="D49" s="4" t="s">
        <v>214</v>
      </c>
      <c r="E49" s="4" t="s">
        <v>659</v>
      </c>
      <c r="F49" s="4" t="s">
        <v>816</v>
      </c>
    </row>
    <row r="50" customFormat="false" ht="15" hidden="false" customHeight="false" outlineLevel="0" collapsed="false">
      <c r="A50" s="4" t="s">
        <v>820</v>
      </c>
      <c r="B50" s="4" t="s">
        <v>821</v>
      </c>
      <c r="C50" s="4" t="s">
        <v>743</v>
      </c>
      <c r="D50" s="4" t="s">
        <v>215</v>
      </c>
      <c r="E50" s="4" t="s">
        <v>599</v>
      </c>
      <c r="F50" s="4" t="s">
        <v>812</v>
      </c>
    </row>
    <row r="51" customFormat="false" ht="15" hidden="false" customHeight="false" outlineLevel="0" collapsed="false">
      <c r="A51" s="4" t="s">
        <v>820</v>
      </c>
      <c r="B51" s="4" t="s">
        <v>821</v>
      </c>
      <c r="C51" s="4" t="s">
        <v>743</v>
      </c>
      <c r="D51" s="4" t="s">
        <v>218</v>
      </c>
      <c r="E51" s="4" t="s">
        <v>684</v>
      </c>
      <c r="F51" s="4" t="s">
        <v>817</v>
      </c>
    </row>
    <row r="52" customFormat="false" ht="15" hidden="false" customHeight="false" outlineLevel="0" collapsed="false">
      <c r="A52" s="4" t="s">
        <v>823</v>
      </c>
      <c r="B52" s="4" t="s">
        <v>819</v>
      </c>
      <c r="C52" s="4" t="s">
        <v>744</v>
      </c>
      <c r="D52" s="4" t="s">
        <v>161</v>
      </c>
      <c r="E52" s="4" t="s">
        <v>537</v>
      </c>
      <c r="F52" s="4" t="s">
        <v>808</v>
      </c>
    </row>
    <row r="53" customFormat="false" ht="15" hidden="false" customHeight="false" outlineLevel="0" collapsed="false">
      <c r="A53" s="4" t="s">
        <v>823</v>
      </c>
      <c r="B53" s="4" t="s">
        <v>819</v>
      </c>
      <c r="C53" s="4" t="s">
        <v>744</v>
      </c>
      <c r="D53" s="4" t="s">
        <v>167</v>
      </c>
      <c r="E53" s="4" t="s">
        <v>542</v>
      </c>
      <c r="F53" s="4" t="s">
        <v>808</v>
      </c>
    </row>
    <row r="54" customFormat="false" ht="15" hidden="false" customHeight="false" outlineLevel="0" collapsed="false">
      <c r="A54" s="4" t="s">
        <v>823</v>
      </c>
      <c r="B54" s="4" t="s">
        <v>819</v>
      </c>
      <c r="C54" s="4" t="s">
        <v>744</v>
      </c>
      <c r="D54" s="4" t="s">
        <v>168</v>
      </c>
      <c r="E54" s="4" t="s">
        <v>427</v>
      </c>
      <c r="F54" s="4" t="s">
        <v>807</v>
      </c>
    </row>
    <row r="55" customFormat="false" ht="15" hidden="false" customHeight="false" outlineLevel="0" collapsed="false">
      <c r="A55" s="4" t="s">
        <v>823</v>
      </c>
      <c r="B55" s="4" t="s">
        <v>819</v>
      </c>
      <c r="C55" s="4" t="s">
        <v>744</v>
      </c>
      <c r="D55" s="4" t="s">
        <v>172</v>
      </c>
      <c r="E55" s="4" t="s">
        <v>452</v>
      </c>
      <c r="F55" s="4" t="s">
        <v>822</v>
      </c>
    </row>
    <row r="56" customFormat="false" ht="15" hidden="false" customHeight="false" outlineLevel="0" collapsed="false">
      <c r="A56" s="4" t="s">
        <v>823</v>
      </c>
      <c r="B56" s="4" t="s">
        <v>819</v>
      </c>
      <c r="C56" s="4" t="s">
        <v>744</v>
      </c>
      <c r="D56" s="4" t="s">
        <v>175</v>
      </c>
      <c r="E56" s="4" t="s">
        <v>482</v>
      </c>
      <c r="F56" s="4" t="s">
        <v>809</v>
      </c>
    </row>
    <row r="57" customFormat="false" ht="15" hidden="false" customHeight="false" outlineLevel="0" collapsed="false">
      <c r="A57" s="4" t="s">
        <v>823</v>
      </c>
      <c r="B57" s="4" t="s">
        <v>819</v>
      </c>
      <c r="C57" s="4" t="s">
        <v>744</v>
      </c>
      <c r="D57" s="4" t="s">
        <v>184</v>
      </c>
      <c r="E57" s="4" t="s">
        <v>467</v>
      </c>
      <c r="F57" s="4" t="s">
        <v>809</v>
      </c>
    </row>
    <row r="58" customFormat="false" ht="15" hidden="false" customHeight="false" outlineLevel="0" collapsed="false">
      <c r="A58" s="4" t="s">
        <v>823</v>
      </c>
      <c r="B58" s="4" t="s">
        <v>819</v>
      </c>
      <c r="C58" s="4" t="s">
        <v>744</v>
      </c>
      <c r="D58" s="4" t="s">
        <v>185</v>
      </c>
      <c r="E58" s="4" t="s">
        <v>472</v>
      </c>
      <c r="F58" s="4" t="s">
        <v>809</v>
      </c>
    </row>
    <row r="59" customFormat="false" ht="15" hidden="false" customHeight="false" outlineLevel="0" collapsed="false">
      <c r="A59" s="4" t="s">
        <v>823</v>
      </c>
      <c r="B59" s="4" t="s">
        <v>819</v>
      </c>
      <c r="C59" s="4" t="s">
        <v>744</v>
      </c>
      <c r="D59" s="4" t="s">
        <v>186</v>
      </c>
      <c r="E59" s="4" t="s">
        <v>502</v>
      </c>
      <c r="F59" s="4" t="s">
        <v>810</v>
      </c>
    </row>
    <row r="60" customFormat="false" ht="15" hidden="false" customHeight="false" outlineLevel="0" collapsed="false">
      <c r="A60" s="4" t="s">
        <v>823</v>
      </c>
      <c r="B60" s="4" t="s">
        <v>819</v>
      </c>
      <c r="C60" s="4" t="s">
        <v>744</v>
      </c>
      <c r="D60" s="4" t="s">
        <v>188</v>
      </c>
      <c r="E60" s="4" t="s">
        <v>547</v>
      </c>
      <c r="F60" s="4" t="s">
        <v>808</v>
      </c>
    </row>
    <row r="61" customFormat="false" ht="15" hidden="false" customHeight="false" outlineLevel="0" collapsed="false">
      <c r="A61" s="4" t="s">
        <v>823</v>
      </c>
      <c r="B61" s="4" t="s">
        <v>819</v>
      </c>
      <c r="C61" s="4" t="s">
        <v>744</v>
      </c>
      <c r="D61" s="4" t="s">
        <v>197</v>
      </c>
      <c r="E61" s="4" t="s">
        <v>607</v>
      </c>
      <c r="F61" s="4" t="s">
        <v>812</v>
      </c>
    </row>
    <row r="62" customFormat="false" ht="15" hidden="false" customHeight="false" outlineLevel="0" collapsed="false">
      <c r="A62" s="4" t="s">
        <v>823</v>
      </c>
      <c r="B62" s="4" t="s">
        <v>819</v>
      </c>
      <c r="C62" s="4" t="s">
        <v>744</v>
      </c>
      <c r="D62" s="4" t="s">
        <v>199</v>
      </c>
      <c r="E62" s="4" t="s">
        <v>622</v>
      </c>
      <c r="F62" s="4" t="s">
        <v>814</v>
      </c>
    </row>
    <row r="63" customFormat="false" ht="15" hidden="false" customHeight="false" outlineLevel="0" collapsed="false">
      <c r="A63" s="4" t="s">
        <v>823</v>
      </c>
      <c r="B63" s="4" t="s">
        <v>819</v>
      </c>
      <c r="C63" s="4" t="s">
        <v>744</v>
      </c>
      <c r="D63" s="4" t="s">
        <v>203</v>
      </c>
      <c r="E63" s="4" t="s">
        <v>617</v>
      </c>
      <c r="F63" s="4" t="s">
        <v>814</v>
      </c>
    </row>
    <row r="64" customFormat="false" ht="15" hidden="false" customHeight="false" outlineLevel="0" collapsed="false">
      <c r="A64" s="4" t="s">
        <v>823</v>
      </c>
      <c r="B64" s="4" t="s">
        <v>819</v>
      </c>
      <c r="C64" s="4" t="s">
        <v>744</v>
      </c>
      <c r="D64" s="4" t="s">
        <v>205</v>
      </c>
      <c r="E64" s="4" t="s">
        <v>557</v>
      </c>
      <c r="F64" s="4" t="s">
        <v>815</v>
      </c>
    </row>
    <row r="65" customFormat="false" ht="15" hidden="false" customHeight="false" outlineLevel="0" collapsed="false">
      <c r="A65" s="4" t="s">
        <v>823</v>
      </c>
      <c r="B65" s="4" t="s">
        <v>819</v>
      </c>
      <c r="C65" s="4" t="s">
        <v>744</v>
      </c>
      <c r="D65" s="4" t="s">
        <v>214</v>
      </c>
      <c r="E65" s="4" t="s">
        <v>657</v>
      </c>
      <c r="F65" s="4" t="s">
        <v>816</v>
      </c>
    </row>
    <row r="66" customFormat="false" ht="15" hidden="false" customHeight="false" outlineLevel="0" collapsed="false">
      <c r="A66" s="4" t="s">
        <v>823</v>
      </c>
      <c r="B66" s="4" t="s">
        <v>819</v>
      </c>
      <c r="C66" s="4" t="s">
        <v>744</v>
      </c>
      <c r="D66" s="4" t="s">
        <v>215</v>
      </c>
      <c r="E66" s="4" t="s">
        <v>672</v>
      </c>
      <c r="F66" s="4" t="s">
        <v>824</v>
      </c>
    </row>
    <row r="67" customFormat="false" ht="15" hidden="false" customHeight="false" outlineLevel="0" collapsed="false">
      <c r="A67" s="4" t="s">
        <v>823</v>
      </c>
      <c r="B67" s="4" t="s">
        <v>819</v>
      </c>
      <c r="C67" s="4" t="s">
        <v>744</v>
      </c>
      <c r="D67" s="4" t="s">
        <v>218</v>
      </c>
      <c r="E67" s="4" t="s">
        <v>687</v>
      </c>
      <c r="F67" s="4" t="s">
        <v>817</v>
      </c>
    </row>
    <row r="68" customFormat="false" ht="15" hidden="false" customHeight="false" outlineLevel="0" collapsed="false">
      <c r="A68" s="4" t="s">
        <v>825</v>
      </c>
      <c r="B68" s="4" t="s">
        <v>826</v>
      </c>
      <c r="C68" s="4" t="s">
        <v>742</v>
      </c>
      <c r="D68" s="4" t="s">
        <v>161</v>
      </c>
      <c r="E68" s="4" t="s">
        <v>493</v>
      </c>
      <c r="F68" s="4" t="s">
        <v>806</v>
      </c>
    </row>
    <row r="69" customFormat="false" ht="15" hidden="false" customHeight="false" outlineLevel="0" collapsed="false">
      <c r="A69" s="4" t="s">
        <v>825</v>
      </c>
      <c r="B69" s="4" t="s">
        <v>826</v>
      </c>
      <c r="C69" s="4" t="s">
        <v>742</v>
      </c>
      <c r="D69" s="4" t="s">
        <v>167</v>
      </c>
      <c r="E69" s="4" t="s">
        <v>498</v>
      </c>
      <c r="F69" s="4" t="s">
        <v>806</v>
      </c>
    </row>
    <row r="70" customFormat="false" ht="15" hidden="false" customHeight="false" outlineLevel="0" collapsed="false">
      <c r="A70" s="4" t="s">
        <v>825</v>
      </c>
      <c r="B70" s="4" t="s">
        <v>826</v>
      </c>
      <c r="C70" s="4" t="s">
        <v>742</v>
      </c>
      <c r="D70" s="4" t="s">
        <v>168</v>
      </c>
      <c r="E70" s="4" t="s">
        <v>503</v>
      </c>
      <c r="F70" s="4" t="s">
        <v>810</v>
      </c>
    </row>
    <row r="71" customFormat="false" ht="15" hidden="false" customHeight="false" outlineLevel="0" collapsed="false">
      <c r="A71" s="4" t="s">
        <v>825</v>
      </c>
      <c r="B71" s="4" t="s">
        <v>826</v>
      </c>
      <c r="C71" s="4" t="s">
        <v>742</v>
      </c>
      <c r="D71" s="4" t="s">
        <v>172</v>
      </c>
      <c r="E71" s="4" t="s">
        <v>453</v>
      </c>
      <c r="F71" s="4" t="s">
        <v>822</v>
      </c>
    </row>
    <row r="72" customFormat="false" ht="15" hidden="false" customHeight="false" outlineLevel="0" collapsed="false">
      <c r="A72" s="4" t="s">
        <v>825</v>
      </c>
      <c r="B72" s="4" t="s">
        <v>826</v>
      </c>
      <c r="C72" s="4" t="s">
        <v>742</v>
      </c>
      <c r="D72" s="4" t="s">
        <v>175</v>
      </c>
      <c r="E72" s="4" t="s">
        <v>468</v>
      </c>
      <c r="F72" s="4" t="s">
        <v>809</v>
      </c>
    </row>
    <row r="73" customFormat="false" ht="15" hidden="false" customHeight="false" outlineLevel="0" collapsed="false">
      <c r="A73" s="4" t="s">
        <v>825</v>
      </c>
      <c r="B73" s="4" t="s">
        <v>826</v>
      </c>
      <c r="C73" s="4" t="s">
        <v>742</v>
      </c>
      <c r="D73" s="4" t="s">
        <v>184</v>
      </c>
      <c r="E73" s="4" t="s">
        <v>463</v>
      </c>
      <c r="F73" s="4" t="s">
        <v>809</v>
      </c>
    </row>
    <row r="74" customFormat="false" ht="15" hidden="false" customHeight="false" outlineLevel="0" collapsed="false">
      <c r="A74" s="4" t="s">
        <v>825</v>
      </c>
      <c r="B74" s="4" t="s">
        <v>826</v>
      </c>
      <c r="C74" s="4" t="s">
        <v>742</v>
      </c>
      <c r="D74" s="4" t="s">
        <v>185</v>
      </c>
      <c r="E74" s="4" t="s">
        <v>488</v>
      </c>
      <c r="F74" s="4" t="s">
        <v>806</v>
      </c>
    </row>
    <row r="75" customFormat="false" ht="15" hidden="false" customHeight="false" outlineLevel="0" collapsed="false">
      <c r="A75" s="4" t="s">
        <v>825</v>
      </c>
      <c r="B75" s="4" t="s">
        <v>826</v>
      </c>
      <c r="C75" s="4" t="s">
        <v>742</v>
      </c>
      <c r="D75" s="4" t="s">
        <v>186</v>
      </c>
      <c r="E75" s="4" t="s">
        <v>508</v>
      </c>
      <c r="F75" s="4" t="s">
        <v>810</v>
      </c>
    </row>
    <row r="76" customFormat="false" ht="15" hidden="false" customHeight="false" outlineLevel="0" collapsed="false">
      <c r="A76" s="4" t="s">
        <v>825</v>
      </c>
      <c r="B76" s="4" t="s">
        <v>826</v>
      </c>
      <c r="C76" s="4" t="s">
        <v>742</v>
      </c>
      <c r="D76" s="4" t="s">
        <v>188</v>
      </c>
      <c r="E76" s="4" t="s">
        <v>593</v>
      </c>
      <c r="F76" s="4" t="s">
        <v>811</v>
      </c>
    </row>
    <row r="77" customFormat="false" ht="15" hidden="false" customHeight="false" outlineLevel="0" collapsed="false">
      <c r="A77" s="4" t="s">
        <v>825</v>
      </c>
      <c r="B77" s="4" t="s">
        <v>826</v>
      </c>
      <c r="C77" s="4" t="s">
        <v>742</v>
      </c>
      <c r="D77" s="4" t="s">
        <v>197</v>
      </c>
      <c r="E77" s="4" t="s">
        <v>608</v>
      </c>
      <c r="F77" s="4" t="s">
        <v>812</v>
      </c>
    </row>
    <row r="78" customFormat="false" ht="15" hidden="false" customHeight="false" outlineLevel="0" collapsed="false">
      <c r="A78" s="4" t="s">
        <v>825</v>
      </c>
      <c r="B78" s="4" t="s">
        <v>826</v>
      </c>
      <c r="C78" s="4" t="s">
        <v>742</v>
      </c>
      <c r="D78" s="4" t="s">
        <v>199</v>
      </c>
      <c r="E78" s="4" t="s">
        <v>613</v>
      </c>
      <c r="F78" s="4" t="s">
        <v>813</v>
      </c>
    </row>
    <row r="79" customFormat="false" ht="15" hidden="false" customHeight="false" outlineLevel="0" collapsed="false">
      <c r="A79" s="4" t="s">
        <v>825</v>
      </c>
      <c r="B79" s="4" t="s">
        <v>826</v>
      </c>
      <c r="C79" s="4" t="s">
        <v>742</v>
      </c>
      <c r="D79" s="4" t="s">
        <v>203</v>
      </c>
      <c r="E79" s="4" t="s">
        <v>618</v>
      </c>
      <c r="F79" s="4" t="s">
        <v>814</v>
      </c>
    </row>
    <row r="80" customFormat="false" ht="15" hidden="false" customHeight="false" outlineLevel="0" collapsed="false">
      <c r="A80" s="4" t="s">
        <v>825</v>
      </c>
      <c r="B80" s="4" t="s">
        <v>826</v>
      </c>
      <c r="C80" s="4" t="s">
        <v>742</v>
      </c>
      <c r="D80" s="4" t="s">
        <v>205</v>
      </c>
      <c r="E80" s="4" t="s">
        <v>563</v>
      </c>
      <c r="F80" s="4" t="s">
        <v>815</v>
      </c>
    </row>
    <row r="81" customFormat="false" ht="15" hidden="false" customHeight="false" outlineLevel="0" collapsed="false">
      <c r="A81" s="4" t="s">
        <v>825</v>
      </c>
      <c r="B81" s="4" t="s">
        <v>826</v>
      </c>
      <c r="C81" s="4" t="s">
        <v>742</v>
      </c>
      <c r="D81" s="4" t="s">
        <v>214</v>
      </c>
      <c r="E81" s="4" t="s">
        <v>663</v>
      </c>
      <c r="F81" s="4" t="s">
        <v>816</v>
      </c>
    </row>
    <row r="82" customFormat="false" ht="15" hidden="false" customHeight="false" outlineLevel="0" collapsed="false">
      <c r="A82" s="4" t="s">
        <v>825</v>
      </c>
      <c r="B82" s="4" t="s">
        <v>826</v>
      </c>
      <c r="C82" s="4" t="s">
        <v>742</v>
      </c>
      <c r="D82" s="4" t="s">
        <v>215</v>
      </c>
      <c r="E82" s="4" t="s">
        <v>598</v>
      </c>
      <c r="F82" s="4" t="s">
        <v>812</v>
      </c>
    </row>
    <row r="83" customFormat="false" ht="15" hidden="false" customHeight="false" outlineLevel="0" collapsed="false">
      <c r="A83" s="4" t="s">
        <v>825</v>
      </c>
      <c r="B83" s="4" t="s">
        <v>826</v>
      </c>
      <c r="C83" s="4" t="s">
        <v>742</v>
      </c>
      <c r="D83" s="4" t="s">
        <v>218</v>
      </c>
      <c r="E83" s="4" t="s">
        <v>688</v>
      </c>
      <c r="F83" s="4" t="s">
        <v>817</v>
      </c>
    </row>
    <row r="84" customFormat="false" ht="15" hidden="false" customHeight="false" outlineLevel="0" collapsed="false">
      <c r="A84" s="4" t="s">
        <v>827</v>
      </c>
      <c r="B84" s="4" t="s">
        <v>828</v>
      </c>
      <c r="C84" s="4" t="s">
        <v>743</v>
      </c>
      <c r="D84" s="4" t="s">
        <v>161</v>
      </c>
      <c r="E84" s="4" t="s">
        <v>500</v>
      </c>
      <c r="F84" s="4" t="s">
        <v>806</v>
      </c>
    </row>
    <row r="85" customFormat="false" ht="15" hidden="false" customHeight="false" outlineLevel="0" collapsed="false">
      <c r="A85" s="4" t="s">
        <v>827</v>
      </c>
      <c r="B85" s="4" t="s">
        <v>828</v>
      </c>
      <c r="C85" s="4" t="s">
        <v>743</v>
      </c>
      <c r="D85" s="4" t="s">
        <v>167</v>
      </c>
      <c r="E85" s="4" t="s">
        <v>495</v>
      </c>
      <c r="F85" s="4" t="s">
        <v>806</v>
      </c>
    </row>
    <row r="86" customFormat="false" ht="15" hidden="false" customHeight="false" outlineLevel="0" collapsed="false">
      <c r="A86" s="4" t="s">
        <v>827</v>
      </c>
      <c r="B86" s="4" t="s">
        <v>828</v>
      </c>
      <c r="C86" s="4" t="s">
        <v>743</v>
      </c>
      <c r="D86" s="4" t="s">
        <v>168</v>
      </c>
      <c r="E86" s="4" t="s">
        <v>425</v>
      </c>
      <c r="F86" s="4" t="s">
        <v>807</v>
      </c>
    </row>
    <row r="87" customFormat="false" ht="15" hidden="false" customHeight="false" outlineLevel="0" collapsed="false">
      <c r="A87" s="4" t="s">
        <v>827</v>
      </c>
      <c r="B87" s="4" t="s">
        <v>828</v>
      </c>
      <c r="C87" s="4" t="s">
        <v>743</v>
      </c>
      <c r="D87" s="4" t="s">
        <v>172</v>
      </c>
      <c r="E87" s="4" t="s">
        <v>455</v>
      </c>
      <c r="F87" s="4" t="s">
        <v>822</v>
      </c>
    </row>
    <row r="88" customFormat="false" ht="15" hidden="false" customHeight="false" outlineLevel="0" collapsed="false">
      <c r="A88" s="4" t="s">
        <v>827</v>
      </c>
      <c r="B88" s="4" t="s">
        <v>828</v>
      </c>
      <c r="C88" s="4" t="s">
        <v>743</v>
      </c>
      <c r="D88" s="4" t="s">
        <v>175</v>
      </c>
      <c r="E88" s="4" t="s">
        <v>470</v>
      </c>
      <c r="F88" s="4" t="s">
        <v>809</v>
      </c>
    </row>
    <row r="89" customFormat="false" ht="15" hidden="false" customHeight="false" outlineLevel="0" collapsed="false">
      <c r="A89" s="4" t="s">
        <v>827</v>
      </c>
      <c r="B89" s="4" t="s">
        <v>828</v>
      </c>
      <c r="C89" s="4" t="s">
        <v>743</v>
      </c>
      <c r="D89" s="4" t="s">
        <v>184</v>
      </c>
      <c r="E89" s="4" t="s">
        <v>465</v>
      </c>
      <c r="F89" s="4" t="s">
        <v>809</v>
      </c>
    </row>
    <row r="90" customFormat="false" ht="15" hidden="false" customHeight="false" outlineLevel="0" collapsed="false">
      <c r="A90" s="4" t="s">
        <v>827</v>
      </c>
      <c r="B90" s="4" t="s">
        <v>828</v>
      </c>
      <c r="C90" s="4" t="s">
        <v>743</v>
      </c>
      <c r="D90" s="4" t="s">
        <v>185</v>
      </c>
      <c r="E90" s="4" t="s">
        <v>490</v>
      </c>
      <c r="F90" s="4" t="s">
        <v>806</v>
      </c>
    </row>
    <row r="91" customFormat="false" ht="15" hidden="false" customHeight="false" outlineLevel="0" collapsed="false">
      <c r="A91" s="4" t="s">
        <v>827</v>
      </c>
      <c r="B91" s="4" t="s">
        <v>828</v>
      </c>
      <c r="C91" s="4" t="s">
        <v>743</v>
      </c>
      <c r="D91" s="4" t="s">
        <v>186</v>
      </c>
      <c r="E91" s="4" t="s">
        <v>505</v>
      </c>
      <c r="F91" s="4" t="s">
        <v>810</v>
      </c>
    </row>
    <row r="92" customFormat="false" ht="15" hidden="false" customHeight="false" outlineLevel="0" collapsed="false">
      <c r="A92" s="4" t="s">
        <v>827</v>
      </c>
      <c r="B92" s="4" t="s">
        <v>828</v>
      </c>
      <c r="C92" s="4" t="s">
        <v>743</v>
      </c>
      <c r="D92" s="4" t="s">
        <v>188</v>
      </c>
      <c r="E92" s="4" t="s">
        <v>595</v>
      </c>
      <c r="F92" s="4" t="s">
        <v>811</v>
      </c>
    </row>
    <row r="93" customFormat="false" ht="15" hidden="false" customHeight="false" outlineLevel="0" collapsed="false">
      <c r="A93" s="4" t="s">
        <v>827</v>
      </c>
      <c r="B93" s="4" t="s">
        <v>828</v>
      </c>
      <c r="C93" s="4" t="s">
        <v>743</v>
      </c>
      <c r="D93" s="4" t="s">
        <v>197</v>
      </c>
      <c r="E93" s="4" t="s">
        <v>605</v>
      </c>
      <c r="F93" s="4" t="s">
        <v>812</v>
      </c>
    </row>
    <row r="94" customFormat="false" ht="15" hidden="false" customHeight="false" outlineLevel="0" collapsed="false">
      <c r="A94" s="4" t="s">
        <v>827</v>
      </c>
      <c r="B94" s="4" t="s">
        <v>828</v>
      </c>
      <c r="C94" s="4" t="s">
        <v>743</v>
      </c>
      <c r="D94" s="4" t="s">
        <v>199</v>
      </c>
      <c r="E94" s="4" t="s">
        <v>615</v>
      </c>
      <c r="F94" s="4" t="s">
        <v>813</v>
      </c>
    </row>
    <row r="95" customFormat="false" ht="15" hidden="false" customHeight="false" outlineLevel="0" collapsed="false">
      <c r="A95" s="4" t="s">
        <v>827</v>
      </c>
      <c r="B95" s="4" t="s">
        <v>828</v>
      </c>
      <c r="C95" s="4" t="s">
        <v>743</v>
      </c>
      <c r="D95" s="4" t="s">
        <v>203</v>
      </c>
      <c r="E95" s="4" t="s">
        <v>625</v>
      </c>
      <c r="F95" s="4" t="s">
        <v>814</v>
      </c>
    </row>
    <row r="96" customFormat="false" ht="15" hidden="false" customHeight="false" outlineLevel="0" collapsed="false">
      <c r="A96" s="4" t="s">
        <v>827</v>
      </c>
      <c r="B96" s="4" t="s">
        <v>828</v>
      </c>
      <c r="C96" s="4" t="s">
        <v>743</v>
      </c>
      <c r="D96" s="4" t="s">
        <v>205</v>
      </c>
      <c r="E96" s="4" t="s">
        <v>555</v>
      </c>
      <c r="F96" s="4" t="s">
        <v>815</v>
      </c>
    </row>
    <row r="97" customFormat="false" ht="15" hidden="false" customHeight="false" outlineLevel="0" collapsed="false">
      <c r="A97" s="4" t="s">
        <v>827</v>
      </c>
      <c r="B97" s="4" t="s">
        <v>828</v>
      </c>
      <c r="C97" s="4" t="s">
        <v>743</v>
      </c>
      <c r="D97" s="4" t="s">
        <v>214</v>
      </c>
      <c r="E97" s="4" t="s">
        <v>660</v>
      </c>
      <c r="F97" s="4" t="s">
        <v>816</v>
      </c>
    </row>
    <row r="98" customFormat="false" ht="15" hidden="false" customHeight="false" outlineLevel="0" collapsed="false">
      <c r="A98" s="4" t="s">
        <v>827</v>
      </c>
      <c r="B98" s="4" t="s">
        <v>828</v>
      </c>
      <c r="C98" s="4" t="s">
        <v>743</v>
      </c>
      <c r="D98" s="4" t="s">
        <v>215</v>
      </c>
      <c r="E98" s="4" t="s">
        <v>610</v>
      </c>
      <c r="F98" s="4" t="s">
        <v>812</v>
      </c>
    </row>
    <row r="99" customFormat="false" ht="15" hidden="false" customHeight="false" outlineLevel="0" collapsed="false">
      <c r="A99" s="4" t="s">
        <v>827</v>
      </c>
      <c r="B99" s="4" t="s">
        <v>828</v>
      </c>
      <c r="C99" s="4" t="s">
        <v>743</v>
      </c>
      <c r="D99" s="4" t="s">
        <v>218</v>
      </c>
      <c r="E99" s="4" t="s">
        <v>680</v>
      </c>
      <c r="F99" s="4" t="s">
        <v>817</v>
      </c>
    </row>
    <row r="100" customFormat="false" ht="15" hidden="false" customHeight="false" outlineLevel="0" collapsed="false">
      <c r="A100" s="4" t="s">
        <v>829</v>
      </c>
      <c r="B100" s="4" t="s">
        <v>826</v>
      </c>
      <c r="C100" s="4" t="s">
        <v>744</v>
      </c>
      <c r="D100" s="4" t="s">
        <v>161</v>
      </c>
      <c r="E100" s="4" t="s">
        <v>518</v>
      </c>
      <c r="F100" s="4" t="s">
        <v>808</v>
      </c>
    </row>
    <row r="101" customFormat="false" ht="15" hidden="false" customHeight="false" outlineLevel="0" collapsed="false">
      <c r="A101" s="4" t="s">
        <v>829</v>
      </c>
      <c r="B101" s="4" t="s">
        <v>826</v>
      </c>
      <c r="C101" s="4" t="s">
        <v>744</v>
      </c>
      <c r="D101" s="4" t="s">
        <v>167</v>
      </c>
      <c r="E101" s="4" t="s">
        <v>528</v>
      </c>
      <c r="F101" s="4" t="s">
        <v>808</v>
      </c>
    </row>
    <row r="102" customFormat="false" ht="15" hidden="false" customHeight="false" outlineLevel="0" collapsed="false">
      <c r="A102" s="4" t="s">
        <v>829</v>
      </c>
      <c r="B102" s="4" t="s">
        <v>826</v>
      </c>
      <c r="C102" s="4" t="s">
        <v>744</v>
      </c>
      <c r="D102" s="4" t="s">
        <v>168</v>
      </c>
      <c r="E102" s="4" t="s">
        <v>423</v>
      </c>
      <c r="F102" s="4" t="s">
        <v>807</v>
      </c>
    </row>
    <row r="103" customFormat="false" ht="15" hidden="false" customHeight="false" outlineLevel="0" collapsed="false">
      <c r="A103" s="4" t="s">
        <v>829</v>
      </c>
      <c r="B103" s="4" t="s">
        <v>826</v>
      </c>
      <c r="C103" s="4" t="s">
        <v>744</v>
      </c>
      <c r="D103" s="4" t="s">
        <v>172</v>
      </c>
      <c r="E103" s="4" t="s">
        <v>458</v>
      </c>
      <c r="F103" s="4" t="s">
        <v>822</v>
      </c>
    </row>
    <row r="104" customFormat="false" ht="15" hidden="false" customHeight="false" outlineLevel="0" collapsed="false">
      <c r="A104" s="4" t="s">
        <v>829</v>
      </c>
      <c r="B104" s="4" t="s">
        <v>826</v>
      </c>
      <c r="C104" s="4" t="s">
        <v>744</v>
      </c>
      <c r="D104" s="4" t="s">
        <v>175</v>
      </c>
      <c r="E104" s="4" t="s">
        <v>473</v>
      </c>
      <c r="F104" s="4" t="s">
        <v>809</v>
      </c>
    </row>
    <row r="105" customFormat="false" ht="15" hidden="false" customHeight="false" outlineLevel="0" collapsed="false">
      <c r="A105" s="4" t="s">
        <v>829</v>
      </c>
      <c r="B105" s="4" t="s">
        <v>826</v>
      </c>
      <c r="C105" s="4" t="s">
        <v>744</v>
      </c>
      <c r="D105" s="4" t="s">
        <v>184</v>
      </c>
      <c r="E105" s="4" t="s">
        <v>478</v>
      </c>
      <c r="F105" s="4" t="s">
        <v>809</v>
      </c>
    </row>
    <row r="106" customFormat="false" ht="15" hidden="false" customHeight="false" outlineLevel="0" collapsed="false">
      <c r="A106" s="4" t="s">
        <v>829</v>
      </c>
      <c r="B106" s="4" t="s">
        <v>826</v>
      </c>
      <c r="C106" s="4" t="s">
        <v>744</v>
      </c>
      <c r="D106" s="4" t="s">
        <v>185</v>
      </c>
      <c r="E106" s="4" t="s">
        <v>483</v>
      </c>
      <c r="F106" s="4" t="s">
        <v>809</v>
      </c>
    </row>
    <row r="107" customFormat="false" ht="15" hidden="false" customHeight="false" outlineLevel="0" collapsed="false">
      <c r="A107" s="4" t="s">
        <v>829</v>
      </c>
      <c r="B107" s="4" t="s">
        <v>826</v>
      </c>
      <c r="C107" s="4" t="s">
        <v>744</v>
      </c>
      <c r="D107" s="4" t="s">
        <v>186</v>
      </c>
      <c r="E107" s="4" t="s">
        <v>583</v>
      </c>
      <c r="F107" s="4" t="s">
        <v>815</v>
      </c>
    </row>
    <row r="108" customFormat="false" ht="15" hidden="false" customHeight="false" outlineLevel="0" collapsed="false">
      <c r="A108" s="4" t="s">
        <v>829</v>
      </c>
      <c r="B108" s="4" t="s">
        <v>826</v>
      </c>
      <c r="C108" s="4" t="s">
        <v>744</v>
      </c>
      <c r="D108" s="4" t="s">
        <v>188</v>
      </c>
      <c r="E108" s="4" t="s">
        <v>533</v>
      </c>
      <c r="F108" s="4" t="s">
        <v>808</v>
      </c>
    </row>
    <row r="109" customFormat="false" ht="15" hidden="false" customHeight="false" outlineLevel="0" collapsed="false">
      <c r="A109" s="4" t="s">
        <v>829</v>
      </c>
      <c r="B109" s="4" t="s">
        <v>826</v>
      </c>
      <c r="C109" s="4" t="s">
        <v>744</v>
      </c>
      <c r="D109" s="4" t="s">
        <v>197</v>
      </c>
      <c r="E109" s="4" t="s">
        <v>603</v>
      </c>
      <c r="F109" s="4" t="s">
        <v>812</v>
      </c>
    </row>
    <row r="110" customFormat="false" ht="15" hidden="false" customHeight="false" outlineLevel="0" collapsed="false">
      <c r="A110" s="4" t="s">
        <v>829</v>
      </c>
      <c r="B110" s="4" t="s">
        <v>826</v>
      </c>
      <c r="C110" s="4" t="s">
        <v>744</v>
      </c>
      <c r="D110" s="4" t="s">
        <v>199</v>
      </c>
      <c r="E110" s="4" t="s">
        <v>633</v>
      </c>
      <c r="F110" s="4" t="s">
        <v>814</v>
      </c>
    </row>
    <row r="111" customFormat="false" ht="15" hidden="false" customHeight="false" outlineLevel="0" collapsed="false">
      <c r="A111" s="4" t="s">
        <v>829</v>
      </c>
      <c r="B111" s="4" t="s">
        <v>826</v>
      </c>
      <c r="C111" s="4" t="s">
        <v>744</v>
      </c>
      <c r="D111" s="4" t="s">
        <v>203</v>
      </c>
      <c r="E111" s="4" t="s">
        <v>628</v>
      </c>
      <c r="F111" s="4" t="s">
        <v>814</v>
      </c>
    </row>
    <row r="112" customFormat="false" ht="15" hidden="false" customHeight="false" outlineLevel="0" collapsed="false">
      <c r="A112" s="4" t="s">
        <v>829</v>
      </c>
      <c r="B112" s="4" t="s">
        <v>826</v>
      </c>
      <c r="C112" s="4" t="s">
        <v>744</v>
      </c>
      <c r="D112" s="4" t="s">
        <v>205</v>
      </c>
      <c r="E112" s="4" t="s">
        <v>588</v>
      </c>
      <c r="F112" s="4" t="s">
        <v>815</v>
      </c>
    </row>
    <row r="113" customFormat="false" ht="15" hidden="false" customHeight="false" outlineLevel="0" collapsed="false">
      <c r="A113" s="4" t="s">
        <v>829</v>
      </c>
      <c r="B113" s="4" t="s">
        <v>826</v>
      </c>
      <c r="C113" s="4" t="s">
        <v>744</v>
      </c>
      <c r="D113" s="4" t="s">
        <v>214</v>
      </c>
      <c r="E113" s="4" t="s">
        <v>658</v>
      </c>
      <c r="F113" s="4" t="s">
        <v>816</v>
      </c>
    </row>
    <row r="114" customFormat="false" ht="15" hidden="false" customHeight="false" outlineLevel="0" collapsed="false">
      <c r="A114" s="4" t="s">
        <v>829</v>
      </c>
      <c r="B114" s="4" t="s">
        <v>826</v>
      </c>
      <c r="C114" s="4" t="s">
        <v>744</v>
      </c>
      <c r="D114" s="4" t="s">
        <v>215</v>
      </c>
      <c r="E114" s="4" t="s">
        <v>673</v>
      </c>
      <c r="F114" s="4" t="s">
        <v>824</v>
      </c>
    </row>
    <row r="115" customFormat="false" ht="15" hidden="false" customHeight="false" outlineLevel="0" collapsed="false">
      <c r="A115" s="4" t="s">
        <v>829</v>
      </c>
      <c r="B115" s="4" t="s">
        <v>826</v>
      </c>
      <c r="C115" s="4" t="s">
        <v>744</v>
      </c>
      <c r="D115" s="4" t="s">
        <v>218</v>
      </c>
      <c r="E115" s="4" t="s">
        <v>678</v>
      </c>
      <c r="F115" s="4" t="s">
        <v>817</v>
      </c>
    </row>
    <row r="116" customFormat="false" ht="15" hidden="false" customHeight="false" outlineLevel="0" collapsed="false">
      <c r="A116" s="4" t="s">
        <v>830</v>
      </c>
      <c r="B116" s="4" t="s">
        <v>821</v>
      </c>
      <c r="C116" s="4" t="s">
        <v>742</v>
      </c>
      <c r="D116" s="4" t="s">
        <v>161</v>
      </c>
      <c r="E116" s="4" t="s">
        <v>524</v>
      </c>
      <c r="F116" s="4" t="s">
        <v>808</v>
      </c>
    </row>
    <row r="117" customFormat="false" ht="15" hidden="false" customHeight="false" outlineLevel="0" collapsed="false">
      <c r="A117" s="4" t="s">
        <v>830</v>
      </c>
      <c r="B117" s="4" t="s">
        <v>821</v>
      </c>
      <c r="C117" s="4" t="s">
        <v>742</v>
      </c>
      <c r="D117" s="4" t="s">
        <v>167</v>
      </c>
      <c r="E117" s="4" t="s">
        <v>519</v>
      </c>
      <c r="F117" s="4" t="s">
        <v>808</v>
      </c>
    </row>
    <row r="118" customFormat="false" ht="15" hidden="false" customHeight="false" outlineLevel="0" collapsed="false">
      <c r="A118" s="4" t="s">
        <v>830</v>
      </c>
      <c r="B118" s="4" t="s">
        <v>821</v>
      </c>
      <c r="C118" s="4" t="s">
        <v>742</v>
      </c>
      <c r="D118" s="4" t="s">
        <v>168</v>
      </c>
      <c r="E118" s="4" t="s">
        <v>429</v>
      </c>
      <c r="F118" s="4" t="s">
        <v>807</v>
      </c>
    </row>
    <row r="119" customFormat="false" ht="15" hidden="false" customHeight="false" outlineLevel="0" collapsed="false">
      <c r="A119" s="4" t="s">
        <v>830</v>
      </c>
      <c r="B119" s="4" t="s">
        <v>821</v>
      </c>
      <c r="C119" s="4" t="s">
        <v>742</v>
      </c>
      <c r="D119" s="4" t="s">
        <v>172</v>
      </c>
      <c r="E119" s="4" t="s">
        <v>459</v>
      </c>
      <c r="F119" s="4" t="s">
        <v>822</v>
      </c>
    </row>
    <row r="120" customFormat="false" ht="15" hidden="false" customHeight="false" outlineLevel="0" collapsed="false">
      <c r="A120" s="4" t="s">
        <v>830</v>
      </c>
      <c r="B120" s="4" t="s">
        <v>821</v>
      </c>
      <c r="C120" s="4" t="s">
        <v>742</v>
      </c>
      <c r="D120" s="4" t="s">
        <v>175</v>
      </c>
      <c r="E120" s="4" t="s">
        <v>474</v>
      </c>
      <c r="F120" s="4" t="s">
        <v>809</v>
      </c>
    </row>
    <row r="121" customFormat="false" ht="15" hidden="false" customHeight="false" outlineLevel="0" collapsed="false">
      <c r="A121" s="4" t="s">
        <v>830</v>
      </c>
      <c r="B121" s="4" t="s">
        <v>821</v>
      </c>
      <c r="C121" s="4" t="s">
        <v>742</v>
      </c>
      <c r="D121" s="4" t="s">
        <v>184</v>
      </c>
      <c r="E121" s="4" t="s">
        <v>484</v>
      </c>
      <c r="F121" s="4" t="s">
        <v>809</v>
      </c>
    </row>
    <row r="122" customFormat="false" ht="15" hidden="false" customHeight="false" outlineLevel="0" collapsed="false">
      <c r="A122" s="4" t="s">
        <v>830</v>
      </c>
      <c r="B122" s="4" t="s">
        <v>821</v>
      </c>
      <c r="C122" s="4" t="s">
        <v>742</v>
      </c>
      <c r="D122" s="4" t="s">
        <v>185</v>
      </c>
      <c r="E122" s="4" t="s">
        <v>479</v>
      </c>
      <c r="F122" s="4" t="s">
        <v>809</v>
      </c>
    </row>
    <row r="123" customFormat="false" ht="15" hidden="false" customHeight="false" outlineLevel="0" collapsed="false">
      <c r="A123" s="4" t="s">
        <v>830</v>
      </c>
      <c r="B123" s="4" t="s">
        <v>821</v>
      </c>
      <c r="C123" s="4" t="s">
        <v>742</v>
      </c>
      <c r="D123" s="4" t="s">
        <v>186</v>
      </c>
      <c r="E123" s="4" t="s">
        <v>509</v>
      </c>
      <c r="F123" s="4" t="s">
        <v>810</v>
      </c>
    </row>
    <row r="124" customFormat="false" ht="15" hidden="false" customHeight="false" outlineLevel="0" collapsed="false">
      <c r="A124" s="4" t="s">
        <v>830</v>
      </c>
      <c r="B124" s="4" t="s">
        <v>821</v>
      </c>
      <c r="C124" s="4" t="s">
        <v>742</v>
      </c>
      <c r="D124" s="4" t="s">
        <v>188</v>
      </c>
      <c r="E124" s="4" t="s">
        <v>514</v>
      </c>
      <c r="F124" s="4" t="s">
        <v>808</v>
      </c>
    </row>
    <row r="125" customFormat="false" ht="15" hidden="false" customHeight="false" outlineLevel="0" collapsed="false">
      <c r="A125" s="4" t="s">
        <v>830</v>
      </c>
      <c r="B125" s="4" t="s">
        <v>821</v>
      </c>
      <c r="C125" s="4" t="s">
        <v>742</v>
      </c>
      <c r="D125" s="4" t="s">
        <v>197</v>
      </c>
      <c r="E125" s="4" t="s">
        <v>609</v>
      </c>
      <c r="F125" s="4" t="s">
        <v>812</v>
      </c>
    </row>
    <row r="126" customFormat="false" ht="15" hidden="false" customHeight="false" outlineLevel="0" collapsed="false">
      <c r="A126" s="4" t="s">
        <v>830</v>
      </c>
      <c r="B126" s="4" t="s">
        <v>821</v>
      </c>
      <c r="C126" s="4" t="s">
        <v>742</v>
      </c>
      <c r="D126" s="4" t="s">
        <v>199</v>
      </c>
      <c r="E126" s="4" t="s">
        <v>619</v>
      </c>
      <c r="F126" s="4" t="s">
        <v>814</v>
      </c>
    </row>
    <row r="127" customFormat="false" ht="15" hidden="false" customHeight="false" outlineLevel="0" collapsed="false">
      <c r="A127" s="4" t="s">
        <v>830</v>
      </c>
      <c r="B127" s="4" t="s">
        <v>821</v>
      </c>
      <c r="C127" s="4" t="s">
        <v>742</v>
      </c>
      <c r="D127" s="4" t="s">
        <v>203</v>
      </c>
      <c r="E127" s="4" t="s">
        <v>634</v>
      </c>
      <c r="F127" s="4" t="s">
        <v>814</v>
      </c>
    </row>
    <row r="128" customFormat="false" ht="15" hidden="false" customHeight="false" outlineLevel="0" collapsed="false">
      <c r="A128" s="4" t="s">
        <v>830</v>
      </c>
      <c r="B128" s="4" t="s">
        <v>821</v>
      </c>
      <c r="C128" s="4" t="s">
        <v>742</v>
      </c>
      <c r="D128" s="4" t="s">
        <v>205</v>
      </c>
      <c r="E128" s="4" t="s">
        <v>569</v>
      </c>
      <c r="F128" s="4" t="s">
        <v>815</v>
      </c>
    </row>
    <row r="129" customFormat="false" ht="15" hidden="false" customHeight="false" outlineLevel="0" collapsed="false">
      <c r="A129" s="4" t="s">
        <v>830</v>
      </c>
      <c r="B129" s="4" t="s">
        <v>821</v>
      </c>
      <c r="C129" s="4" t="s">
        <v>742</v>
      </c>
      <c r="D129" s="4" t="s">
        <v>214</v>
      </c>
      <c r="E129" s="4" t="s">
        <v>664</v>
      </c>
      <c r="F129" s="4" t="s">
        <v>816</v>
      </c>
    </row>
    <row r="130" customFormat="false" ht="15" hidden="false" customHeight="false" outlineLevel="0" collapsed="false">
      <c r="A130" s="4" t="s">
        <v>830</v>
      </c>
      <c r="B130" s="4" t="s">
        <v>821</v>
      </c>
      <c r="C130" s="4" t="s">
        <v>742</v>
      </c>
      <c r="D130" s="4" t="s">
        <v>215</v>
      </c>
      <c r="E130" s="4" t="s">
        <v>674</v>
      </c>
      <c r="F130" s="4" t="s">
        <v>824</v>
      </c>
    </row>
    <row r="131" customFormat="false" ht="15" hidden="false" customHeight="false" outlineLevel="0" collapsed="false">
      <c r="A131" s="4" t="s">
        <v>830</v>
      </c>
      <c r="B131" s="4" t="s">
        <v>821</v>
      </c>
      <c r="C131" s="4" t="s">
        <v>742</v>
      </c>
      <c r="D131" s="4" t="s">
        <v>218</v>
      </c>
      <c r="E131" s="4" t="s">
        <v>694</v>
      </c>
      <c r="F131" s="4" t="s">
        <v>817</v>
      </c>
    </row>
    <row r="132" customFormat="false" ht="15" hidden="false" customHeight="false" outlineLevel="0" collapsed="false">
      <c r="A132" s="4" t="s">
        <v>831</v>
      </c>
      <c r="B132" s="4" t="s">
        <v>805</v>
      </c>
      <c r="C132" s="4" t="s">
        <v>743</v>
      </c>
      <c r="D132" s="4" t="s">
        <v>161</v>
      </c>
      <c r="E132" s="4" t="s">
        <v>521</v>
      </c>
      <c r="F132" s="4" t="s">
        <v>808</v>
      </c>
    </row>
    <row r="133" customFormat="false" ht="15" hidden="false" customHeight="false" outlineLevel="0" collapsed="false">
      <c r="A133" s="4" t="s">
        <v>831</v>
      </c>
      <c r="B133" s="4" t="s">
        <v>805</v>
      </c>
      <c r="C133" s="4" t="s">
        <v>743</v>
      </c>
      <c r="D133" s="4" t="s">
        <v>167</v>
      </c>
      <c r="E133" s="4" t="s">
        <v>531</v>
      </c>
      <c r="F133" s="4" t="s">
        <v>808</v>
      </c>
    </row>
    <row r="134" customFormat="false" ht="15" hidden="false" customHeight="false" outlineLevel="0" collapsed="false">
      <c r="A134" s="4" t="s">
        <v>831</v>
      </c>
      <c r="B134" s="4" t="s">
        <v>805</v>
      </c>
      <c r="C134" s="4" t="s">
        <v>743</v>
      </c>
      <c r="D134" s="4" t="s">
        <v>168</v>
      </c>
      <c r="E134" s="4" t="s">
        <v>431</v>
      </c>
      <c r="F134" s="4" t="s">
        <v>807</v>
      </c>
    </row>
    <row r="135" customFormat="false" ht="15" hidden="false" customHeight="false" outlineLevel="0" collapsed="false">
      <c r="A135" s="4" t="s">
        <v>831</v>
      </c>
      <c r="B135" s="4" t="s">
        <v>805</v>
      </c>
      <c r="C135" s="4" t="s">
        <v>743</v>
      </c>
      <c r="D135" s="4" t="s">
        <v>172</v>
      </c>
      <c r="E135" s="4" t="s">
        <v>456</v>
      </c>
      <c r="F135" s="4" t="s">
        <v>822</v>
      </c>
    </row>
    <row r="136" customFormat="false" ht="15" hidden="false" customHeight="false" outlineLevel="0" collapsed="false">
      <c r="A136" s="4" t="s">
        <v>831</v>
      </c>
      <c r="B136" s="4" t="s">
        <v>805</v>
      </c>
      <c r="C136" s="4" t="s">
        <v>743</v>
      </c>
      <c r="D136" s="4" t="s">
        <v>175</v>
      </c>
      <c r="E136" s="4" t="s">
        <v>486</v>
      </c>
      <c r="F136" s="4" t="s">
        <v>809</v>
      </c>
    </row>
    <row r="137" customFormat="false" ht="15" hidden="false" customHeight="false" outlineLevel="0" collapsed="false">
      <c r="A137" s="4" t="s">
        <v>831</v>
      </c>
      <c r="B137" s="4" t="s">
        <v>805</v>
      </c>
      <c r="C137" s="4" t="s">
        <v>743</v>
      </c>
      <c r="D137" s="4" t="s">
        <v>184</v>
      </c>
      <c r="E137" s="4" t="s">
        <v>481</v>
      </c>
      <c r="F137" s="4" t="s">
        <v>809</v>
      </c>
    </row>
    <row r="138" customFormat="false" ht="15" hidden="false" customHeight="false" outlineLevel="0" collapsed="false">
      <c r="A138" s="4" t="s">
        <v>831</v>
      </c>
      <c r="B138" s="4" t="s">
        <v>805</v>
      </c>
      <c r="C138" s="4" t="s">
        <v>743</v>
      </c>
      <c r="D138" s="4" t="s">
        <v>185</v>
      </c>
      <c r="E138" s="4" t="s">
        <v>476</v>
      </c>
      <c r="F138" s="4" t="s">
        <v>809</v>
      </c>
    </row>
    <row r="139" customFormat="false" ht="15" hidden="false" customHeight="false" outlineLevel="0" collapsed="false">
      <c r="A139" s="4" t="s">
        <v>831</v>
      </c>
      <c r="B139" s="4" t="s">
        <v>805</v>
      </c>
      <c r="C139" s="4" t="s">
        <v>743</v>
      </c>
      <c r="D139" s="4" t="s">
        <v>186</v>
      </c>
      <c r="E139" s="4" t="s">
        <v>506</v>
      </c>
      <c r="F139" s="4" t="s">
        <v>810</v>
      </c>
    </row>
    <row r="140" customFormat="false" ht="15" hidden="false" customHeight="false" outlineLevel="0" collapsed="false">
      <c r="A140" s="4" t="s">
        <v>831</v>
      </c>
      <c r="B140" s="4" t="s">
        <v>805</v>
      </c>
      <c r="C140" s="4" t="s">
        <v>743</v>
      </c>
      <c r="D140" s="4" t="s">
        <v>188</v>
      </c>
      <c r="E140" s="4" t="s">
        <v>526</v>
      </c>
      <c r="F140" s="4" t="s">
        <v>808</v>
      </c>
    </row>
    <row r="141" customFormat="false" ht="15" hidden="false" customHeight="false" outlineLevel="0" collapsed="false">
      <c r="A141" s="4" t="s">
        <v>831</v>
      </c>
      <c r="B141" s="4" t="s">
        <v>805</v>
      </c>
      <c r="C141" s="4" t="s">
        <v>743</v>
      </c>
      <c r="D141" s="4" t="s">
        <v>197</v>
      </c>
      <c r="E141" s="4" t="s">
        <v>606</v>
      </c>
      <c r="F141" s="4" t="s">
        <v>812</v>
      </c>
    </row>
    <row r="142" customFormat="false" ht="15" hidden="false" customHeight="false" outlineLevel="0" collapsed="false">
      <c r="A142" s="4" t="s">
        <v>831</v>
      </c>
      <c r="B142" s="4" t="s">
        <v>805</v>
      </c>
      <c r="C142" s="4" t="s">
        <v>743</v>
      </c>
      <c r="D142" s="4" t="s">
        <v>199</v>
      </c>
      <c r="E142" s="4" t="s">
        <v>641</v>
      </c>
      <c r="F142" s="4" t="s">
        <v>814</v>
      </c>
    </row>
    <row r="143" customFormat="false" ht="15" hidden="false" customHeight="false" outlineLevel="0" collapsed="false">
      <c r="A143" s="4" t="s">
        <v>831</v>
      </c>
      <c r="B143" s="4" t="s">
        <v>805</v>
      </c>
      <c r="C143" s="4" t="s">
        <v>743</v>
      </c>
      <c r="D143" s="4" t="s">
        <v>203</v>
      </c>
      <c r="E143" s="4" t="s">
        <v>621</v>
      </c>
      <c r="F143" s="4" t="s">
        <v>814</v>
      </c>
    </row>
    <row r="144" customFormat="false" ht="15" hidden="false" customHeight="false" outlineLevel="0" collapsed="false">
      <c r="A144" s="4" t="s">
        <v>831</v>
      </c>
      <c r="B144" s="4" t="s">
        <v>805</v>
      </c>
      <c r="C144" s="4" t="s">
        <v>743</v>
      </c>
      <c r="D144" s="4" t="s">
        <v>205</v>
      </c>
      <c r="E144" s="4" t="s">
        <v>571</v>
      </c>
      <c r="F144" s="4" t="s">
        <v>815</v>
      </c>
    </row>
    <row r="145" customFormat="false" ht="15" hidden="false" customHeight="false" outlineLevel="0" collapsed="false">
      <c r="A145" s="4" t="s">
        <v>831</v>
      </c>
      <c r="B145" s="4" t="s">
        <v>805</v>
      </c>
      <c r="C145" s="4" t="s">
        <v>743</v>
      </c>
      <c r="D145" s="4" t="s">
        <v>214</v>
      </c>
      <c r="E145" s="4" t="s">
        <v>661</v>
      </c>
      <c r="F145" s="4" t="s">
        <v>816</v>
      </c>
    </row>
    <row r="146" customFormat="false" ht="15" hidden="false" customHeight="false" outlineLevel="0" collapsed="false">
      <c r="A146" s="4" t="s">
        <v>831</v>
      </c>
      <c r="B146" s="4" t="s">
        <v>805</v>
      </c>
      <c r="C146" s="4" t="s">
        <v>743</v>
      </c>
      <c r="D146" s="4" t="s">
        <v>215</v>
      </c>
      <c r="E146" s="4" t="s">
        <v>671</v>
      </c>
      <c r="F146" s="4" t="s">
        <v>824</v>
      </c>
    </row>
    <row r="147" customFormat="false" ht="15" hidden="false" customHeight="false" outlineLevel="0" collapsed="false">
      <c r="A147" s="4" t="s">
        <v>831</v>
      </c>
      <c r="B147" s="4" t="s">
        <v>805</v>
      </c>
      <c r="C147" s="4" t="s">
        <v>743</v>
      </c>
      <c r="D147" s="4" t="s">
        <v>218</v>
      </c>
      <c r="E147" s="4" t="s">
        <v>686</v>
      </c>
      <c r="F147" s="4" t="s">
        <v>817</v>
      </c>
    </row>
    <row r="148" customFormat="false" ht="15" hidden="false" customHeight="false" outlineLevel="0" collapsed="false">
      <c r="A148" s="4" t="s">
        <v>832</v>
      </c>
      <c r="B148" s="4" t="s">
        <v>828</v>
      </c>
      <c r="C148" s="4" t="s">
        <v>742</v>
      </c>
      <c r="D148" s="4" t="s">
        <v>161</v>
      </c>
      <c r="E148" s="4" t="s">
        <v>525</v>
      </c>
      <c r="F148" s="4" t="s">
        <v>808</v>
      </c>
    </row>
    <row r="149" customFormat="false" ht="15" hidden="false" customHeight="false" outlineLevel="0" collapsed="false">
      <c r="A149" s="4" t="s">
        <v>832</v>
      </c>
      <c r="B149" s="4" t="s">
        <v>828</v>
      </c>
      <c r="C149" s="4" t="s">
        <v>742</v>
      </c>
      <c r="D149" s="4" t="s">
        <v>167</v>
      </c>
      <c r="E149" s="4" t="s">
        <v>515</v>
      </c>
      <c r="F149" s="4" t="s">
        <v>808</v>
      </c>
    </row>
    <row r="150" customFormat="false" ht="15" hidden="false" customHeight="false" outlineLevel="0" collapsed="false">
      <c r="A150" s="4" t="s">
        <v>832</v>
      </c>
      <c r="B150" s="4" t="s">
        <v>828</v>
      </c>
      <c r="C150" s="4" t="s">
        <v>742</v>
      </c>
      <c r="D150" s="4" t="s">
        <v>168</v>
      </c>
      <c r="E150" s="4" t="s">
        <v>430</v>
      </c>
      <c r="F150" s="4" t="s">
        <v>807</v>
      </c>
    </row>
    <row r="151" customFormat="false" ht="15" hidden="false" customHeight="false" outlineLevel="0" collapsed="false">
      <c r="A151" s="4" t="s">
        <v>832</v>
      </c>
      <c r="B151" s="4" t="s">
        <v>828</v>
      </c>
      <c r="C151" s="4" t="s">
        <v>742</v>
      </c>
      <c r="D151" s="4" t="s">
        <v>172</v>
      </c>
      <c r="E151" s="4" t="s">
        <v>460</v>
      </c>
      <c r="F151" s="4" t="s">
        <v>822</v>
      </c>
    </row>
    <row r="152" customFormat="false" ht="15" hidden="false" customHeight="false" outlineLevel="0" collapsed="false">
      <c r="A152" s="4" t="s">
        <v>832</v>
      </c>
      <c r="B152" s="4" t="s">
        <v>828</v>
      </c>
      <c r="C152" s="4" t="s">
        <v>742</v>
      </c>
      <c r="D152" s="4" t="s">
        <v>175</v>
      </c>
      <c r="E152" s="4" t="s">
        <v>475</v>
      </c>
      <c r="F152" s="4" t="s">
        <v>809</v>
      </c>
    </row>
    <row r="153" customFormat="false" ht="15" hidden="false" customHeight="false" outlineLevel="0" collapsed="false">
      <c r="A153" s="4" t="s">
        <v>832</v>
      </c>
      <c r="B153" s="4" t="s">
        <v>828</v>
      </c>
      <c r="C153" s="4" t="s">
        <v>742</v>
      </c>
      <c r="D153" s="4" t="s">
        <v>184</v>
      </c>
      <c r="E153" s="4" t="s">
        <v>480</v>
      </c>
      <c r="F153" s="4" t="s">
        <v>809</v>
      </c>
    </row>
    <row r="154" customFormat="false" ht="15" hidden="false" customHeight="false" outlineLevel="0" collapsed="false">
      <c r="A154" s="4" t="s">
        <v>832</v>
      </c>
      <c r="B154" s="4" t="s">
        <v>828</v>
      </c>
      <c r="C154" s="4" t="s">
        <v>742</v>
      </c>
      <c r="D154" s="4" t="s">
        <v>185</v>
      </c>
      <c r="E154" s="4" t="s">
        <v>485</v>
      </c>
      <c r="F154" s="4" t="s">
        <v>809</v>
      </c>
    </row>
    <row r="155" customFormat="false" ht="15" hidden="false" customHeight="false" outlineLevel="0" collapsed="false">
      <c r="A155" s="4" t="s">
        <v>832</v>
      </c>
      <c r="B155" s="4" t="s">
        <v>828</v>
      </c>
      <c r="C155" s="4" t="s">
        <v>742</v>
      </c>
      <c r="D155" s="4" t="s">
        <v>186</v>
      </c>
      <c r="E155" s="4" t="s">
        <v>510</v>
      </c>
      <c r="F155" s="4" t="s">
        <v>810</v>
      </c>
    </row>
    <row r="156" customFormat="false" ht="15" hidden="false" customHeight="false" outlineLevel="0" collapsed="false">
      <c r="A156" s="4" t="s">
        <v>832</v>
      </c>
      <c r="B156" s="4" t="s">
        <v>828</v>
      </c>
      <c r="C156" s="4" t="s">
        <v>742</v>
      </c>
      <c r="D156" s="4" t="s">
        <v>188</v>
      </c>
      <c r="E156" s="4" t="s">
        <v>520</v>
      </c>
      <c r="F156" s="4" t="s">
        <v>808</v>
      </c>
    </row>
    <row r="157" customFormat="false" ht="15" hidden="false" customHeight="false" outlineLevel="0" collapsed="false">
      <c r="A157" s="4" t="s">
        <v>832</v>
      </c>
      <c r="B157" s="4" t="s">
        <v>828</v>
      </c>
      <c r="C157" s="4" t="s">
        <v>742</v>
      </c>
      <c r="D157" s="4" t="s">
        <v>197</v>
      </c>
      <c r="E157" s="4" t="s">
        <v>600</v>
      </c>
      <c r="F157" s="4" t="s">
        <v>812</v>
      </c>
    </row>
    <row r="158" customFormat="false" ht="15" hidden="false" customHeight="false" outlineLevel="0" collapsed="false">
      <c r="A158" s="4" t="s">
        <v>832</v>
      </c>
      <c r="B158" s="4" t="s">
        <v>828</v>
      </c>
      <c r="C158" s="4" t="s">
        <v>742</v>
      </c>
      <c r="D158" s="4" t="s">
        <v>199</v>
      </c>
      <c r="E158" s="4" t="s">
        <v>630</v>
      </c>
      <c r="F158" s="4" t="s">
        <v>814</v>
      </c>
    </row>
    <row r="159" customFormat="false" ht="15" hidden="false" customHeight="false" outlineLevel="0" collapsed="false">
      <c r="A159" s="4" t="s">
        <v>832</v>
      </c>
      <c r="B159" s="4" t="s">
        <v>828</v>
      </c>
      <c r="C159" s="4" t="s">
        <v>742</v>
      </c>
      <c r="D159" s="4" t="s">
        <v>203</v>
      </c>
      <c r="E159" s="4" t="s">
        <v>620</v>
      </c>
      <c r="F159" s="4" t="s">
        <v>814</v>
      </c>
    </row>
    <row r="160" customFormat="false" ht="15" hidden="false" customHeight="false" outlineLevel="0" collapsed="false">
      <c r="A160" s="4" t="s">
        <v>832</v>
      </c>
      <c r="B160" s="4" t="s">
        <v>828</v>
      </c>
      <c r="C160" s="4" t="s">
        <v>742</v>
      </c>
      <c r="D160" s="4" t="s">
        <v>205</v>
      </c>
      <c r="E160" s="4" t="s">
        <v>565</v>
      </c>
      <c r="F160" s="4" t="s">
        <v>815</v>
      </c>
    </row>
    <row r="161" customFormat="false" ht="15" hidden="false" customHeight="false" outlineLevel="0" collapsed="false">
      <c r="A161" s="4" t="s">
        <v>832</v>
      </c>
      <c r="B161" s="4" t="s">
        <v>828</v>
      </c>
      <c r="C161" s="4" t="s">
        <v>742</v>
      </c>
      <c r="D161" s="4" t="s">
        <v>214</v>
      </c>
      <c r="E161" s="4" t="s">
        <v>665</v>
      </c>
      <c r="F161" s="4" t="s">
        <v>816</v>
      </c>
    </row>
    <row r="162" customFormat="false" ht="15" hidden="false" customHeight="false" outlineLevel="0" collapsed="false">
      <c r="A162" s="4" t="s">
        <v>832</v>
      </c>
      <c r="B162" s="4" t="s">
        <v>828</v>
      </c>
      <c r="C162" s="4" t="s">
        <v>742</v>
      </c>
      <c r="D162" s="4" t="s">
        <v>215</v>
      </c>
      <c r="E162" s="4" t="s">
        <v>670</v>
      </c>
      <c r="F162" s="4" t="s">
        <v>824</v>
      </c>
    </row>
    <row r="163" customFormat="false" ht="15" hidden="false" customHeight="false" outlineLevel="0" collapsed="false">
      <c r="A163" s="4" t="s">
        <v>832</v>
      </c>
      <c r="B163" s="4" t="s">
        <v>828</v>
      </c>
      <c r="C163" s="4" t="s">
        <v>742</v>
      </c>
      <c r="D163" s="4" t="s">
        <v>218</v>
      </c>
      <c r="E163" s="4" t="s">
        <v>685</v>
      </c>
      <c r="F163" s="4" t="s">
        <v>817</v>
      </c>
    </row>
    <row r="164" customFormat="false" ht="15" hidden="false" customHeight="false" outlineLevel="0" collapsed="false">
      <c r="A164" s="4" t="s">
        <v>833</v>
      </c>
      <c r="B164" s="4" t="s">
        <v>821</v>
      </c>
      <c r="C164" s="4" t="s">
        <v>744</v>
      </c>
      <c r="D164" s="4" t="s">
        <v>161</v>
      </c>
      <c r="E164" s="4" t="s">
        <v>539</v>
      </c>
      <c r="F164" s="4" t="s">
        <v>808</v>
      </c>
    </row>
    <row r="165" customFormat="false" ht="15" hidden="false" customHeight="false" outlineLevel="0" collapsed="false">
      <c r="A165" s="4" t="s">
        <v>833</v>
      </c>
      <c r="B165" s="4" t="s">
        <v>821</v>
      </c>
      <c r="C165" s="4" t="s">
        <v>744</v>
      </c>
      <c r="D165" s="4" t="s">
        <v>167</v>
      </c>
      <c r="E165" s="4" t="s">
        <v>529</v>
      </c>
      <c r="F165" s="4" t="s">
        <v>808</v>
      </c>
    </row>
    <row r="166" customFormat="false" ht="15" hidden="false" customHeight="false" outlineLevel="0" collapsed="false">
      <c r="A166" s="4" t="s">
        <v>833</v>
      </c>
      <c r="B166" s="4" t="s">
        <v>821</v>
      </c>
      <c r="C166" s="4" t="s">
        <v>744</v>
      </c>
      <c r="D166" s="4" t="s">
        <v>168</v>
      </c>
      <c r="E166" s="4" t="s">
        <v>434</v>
      </c>
      <c r="F166" s="4" t="s">
        <v>807</v>
      </c>
    </row>
    <row r="167" customFormat="false" ht="15" hidden="false" customHeight="false" outlineLevel="0" collapsed="false">
      <c r="A167" s="4" t="s">
        <v>833</v>
      </c>
      <c r="B167" s="4" t="s">
        <v>821</v>
      </c>
      <c r="C167" s="4" t="s">
        <v>744</v>
      </c>
      <c r="D167" s="4" t="s">
        <v>172</v>
      </c>
      <c r="E167" s="4" t="s">
        <v>544</v>
      </c>
      <c r="F167" s="4" t="s">
        <v>808</v>
      </c>
    </row>
    <row r="168" customFormat="false" ht="15" hidden="false" customHeight="false" outlineLevel="0" collapsed="false">
      <c r="A168" s="4" t="s">
        <v>833</v>
      </c>
      <c r="B168" s="4" t="s">
        <v>821</v>
      </c>
      <c r="C168" s="4" t="s">
        <v>744</v>
      </c>
      <c r="D168" s="4" t="s">
        <v>175</v>
      </c>
      <c r="E168" s="4" t="s">
        <v>439</v>
      </c>
      <c r="F168" s="4" t="s">
        <v>807</v>
      </c>
    </row>
    <row r="169" customFormat="false" ht="15" hidden="false" customHeight="false" outlineLevel="0" collapsed="false">
      <c r="A169" s="4" t="s">
        <v>833</v>
      </c>
      <c r="B169" s="4" t="s">
        <v>821</v>
      </c>
      <c r="C169" s="4" t="s">
        <v>744</v>
      </c>
      <c r="D169" s="4" t="s">
        <v>184</v>
      </c>
      <c r="E169" s="4" t="s">
        <v>449</v>
      </c>
      <c r="F169" s="4" t="s">
        <v>807</v>
      </c>
    </row>
    <row r="170" customFormat="false" ht="15" hidden="false" customHeight="false" outlineLevel="0" collapsed="false">
      <c r="A170" s="4" t="s">
        <v>833</v>
      </c>
      <c r="B170" s="4" t="s">
        <v>821</v>
      </c>
      <c r="C170" s="4" t="s">
        <v>744</v>
      </c>
      <c r="D170" s="4" t="s">
        <v>185</v>
      </c>
      <c r="E170" s="4" t="s">
        <v>589</v>
      </c>
      <c r="F170" s="4" t="s">
        <v>815</v>
      </c>
    </row>
    <row r="171" customFormat="false" ht="15" hidden="false" customHeight="false" outlineLevel="0" collapsed="false">
      <c r="A171" s="4" t="s">
        <v>833</v>
      </c>
      <c r="B171" s="4" t="s">
        <v>821</v>
      </c>
      <c r="C171" s="4" t="s">
        <v>744</v>
      </c>
      <c r="D171" s="4" t="s">
        <v>186</v>
      </c>
      <c r="E171" s="4" t="s">
        <v>559</v>
      </c>
      <c r="F171" s="4" t="s">
        <v>815</v>
      </c>
    </row>
    <row r="172" customFormat="false" ht="15" hidden="false" customHeight="false" outlineLevel="0" collapsed="false">
      <c r="A172" s="4" t="s">
        <v>833</v>
      </c>
      <c r="B172" s="4" t="s">
        <v>821</v>
      </c>
      <c r="C172" s="4" t="s">
        <v>744</v>
      </c>
      <c r="D172" s="4" t="s">
        <v>188</v>
      </c>
      <c r="E172" s="4" t="s">
        <v>549</v>
      </c>
      <c r="F172" s="4" t="s">
        <v>808</v>
      </c>
    </row>
    <row r="173" customFormat="false" ht="15" hidden="false" customHeight="false" outlineLevel="0" collapsed="false">
      <c r="A173" s="4" t="s">
        <v>833</v>
      </c>
      <c r="B173" s="4" t="s">
        <v>821</v>
      </c>
      <c r="C173" s="4" t="s">
        <v>744</v>
      </c>
      <c r="D173" s="4" t="s">
        <v>197</v>
      </c>
      <c r="E173" s="4" t="s">
        <v>629</v>
      </c>
      <c r="F173" s="4" t="s">
        <v>814</v>
      </c>
    </row>
    <row r="174" customFormat="false" ht="15" hidden="false" customHeight="false" outlineLevel="0" collapsed="false">
      <c r="A174" s="4" t="s">
        <v>833</v>
      </c>
      <c r="B174" s="4" t="s">
        <v>821</v>
      </c>
      <c r="C174" s="4" t="s">
        <v>744</v>
      </c>
      <c r="D174" s="4" t="s">
        <v>199</v>
      </c>
      <c r="E174" s="4" t="s">
        <v>639</v>
      </c>
      <c r="F174" s="4" t="s">
        <v>814</v>
      </c>
    </row>
    <row r="175" customFormat="false" ht="15" hidden="false" customHeight="false" outlineLevel="0" collapsed="false">
      <c r="A175" s="4" t="s">
        <v>833</v>
      </c>
      <c r="B175" s="4" t="s">
        <v>821</v>
      </c>
      <c r="C175" s="4" t="s">
        <v>744</v>
      </c>
      <c r="D175" s="4" t="s">
        <v>203</v>
      </c>
      <c r="E175" s="4" t="s">
        <v>644</v>
      </c>
      <c r="F175" s="4" t="s">
        <v>814</v>
      </c>
    </row>
    <row r="176" customFormat="false" ht="15" hidden="false" customHeight="false" outlineLevel="0" collapsed="false">
      <c r="A176" s="4" t="s">
        <v>833</v>
      </c>
      <c r="B176" s="4" t="s">
        <v>821</v>
      </c>
      <c r="C176" s="4" t="s">
        <v>744</v>
      </c>
      <c r="D176" s="4" t="s">
        <v>205</v>
      </c>
      <c r="E176" s="4" t="s">
        <v>579</v>
      </c>
      <c r="F176" s="4" t="s">
        <v>815</v>
      </c>
    </row>
    <row r="177" customFormat="false" ht="15" hidden="false" customHeight="false" outlineLevel="0" collapsed="false">
      <c r="A177" s="4" t="s">
        <v>833</v>
      </c>
      <c r="B177" s="4" t="s">
        <v>821</v>
      </c>
      <c r="C177" s="4" t="s">
        <v>744</v>
      </c>
      <c r="D177" s="4" t="s">
        <v>214</v>
      </c>
      <c r="E177" s="4" t="s">
        <v>574</v>
      </c>
      <c r="F177" s="4" t="s">
        <v>815</v>
      </c>
    </row>
    <row r="178" customFormat="false" ht="15" hidden="false" customHeight="false" outlineLevel="0" collapsed="false">
      <c r="A178" s="4" t="s">
        <v>833</v>
      </c>
      <c r="B178" s="4" t="s">
        <v>821</v>
      </c>
      <c r="C178" s="4" t="s">
        <v>744</v>
      </c>
      <c r="D178" s="4" t="s">
        <v>215</v>
      </c>
      <c r="E178" s="4" t="s">
        <v>669</v>
      </c>
      <c r="F178" s="4" t="s">
        <v>824</v>
      </c>
    </row>
    <row r="179" customFormat="false" ht="15" hidden="false" customHeight="false" outlineLevel="0" collapsed="false">
      <c r="A179" s="4" t="s">
        <v>833</v>
      </c>
      <c r="B179" s="4" t="s">
        <v>821</v>
      </c>
      <c r="C179" s="4" t="s">
        <v>744</v>
      </c>
      <c r="D179" s="4" t="s">
        <v>218</v>
      </c>
      <c r="E179" s="4" t="s">
        <v>689</v>
      </c>
      <c r="F179" s="4" t="s">
        <v>817</v>
      </c>
    </row>
    <row r="180" customFormat="false" ht="15" hidden="false" customHeight="false" outlineLevel="0" collapsed="false">
      <c r="A180" s="4" t="s">
        <v>834</v>
      </c>
      <c r="B180" s="4" t="s">
        <v>819</v>
      </c>
      <c r="C180" s="4" t="s">
        <v>743</v>
      </c>
      <c r="D180" s="4" t="s">
        <v>161</v>
      </c>
      <c r="E180" s="4" t="s">
        <v>512</v>
      </c>
      <c r="F180" s="4" t="s">
        <v>808</v>
      </c>
    </row>
    <row r="181" customFormat="false" ht="15" hidden="false" customHeight="false" outlineLevel="0" collapsed="false">
      <c r="A181" s="4" t="s">
        <v>834</v>
      </c>
      <c r="B181" s="4" t="s">
        <v>819</v>
      </c>
      <c r="C181" s="4" t="s">
        <v>743</v>
      </c>
      <c r="D181" s="4" t="s">
        <v>167</v>
      </c>
      <c r="E181" s="4" t="s">
        <v>522</v>
      </c>
      <c r="F181" s="4" t="s">
        <v>808</v>
      </c>
    </row>
    <row r="182" customFormat="false" ht="15" hidden="false" customHeight="false" outlineLevel="0" collapsed="false">
      <c r="A182" s="4" t="s">
        <v>834</v>
      </c>
      <c r="B182" s="4" t="s">
        <v>819</v>
      </c>
      <c r="C182" s="4" t="s">
        <v>743</v>
      </c>
      <c r="D182" s="4" t="s">
        <v>168</v>
      </c>
      <c r="E182" s="4" t="s">
        <v>437</v>
      </c>
      <c r="F182" s="4" t="s">
        <v>807</v>
      </c>
    </row>
    <row r="183" customFormat="false" ht="15" hidden="false" customHeight="false" outlineLevel="0" collapsed="false">
      <c r="A183" s="4" t="s">
        <v>834</v>
      </c>
      <c r="B183" s="4" t="s">
        <v>819</v>
      </c>
      <c r="C183" s="4" t="s">
        <v>743</v>
      </c>
      <c r="D183" s="4" t="s">
        <v>172</v>
      </c>
      <c r="E183" s="4" t="s">
        <v>527</v>
      </c>
      <c r="F183" s="4" t="s">
        <v>808</v>
      </c>
    </row>
    <row r="184" customFormat="false" ht="15" hidden="false" customHeight="false" outlineLevel="0" collapsed="false">
      <c r="A184" s="4" t="s">
        <v>834</v>
      </c>
      <c r="B184" s="4" t="s">
        <v>819</v>
      </c>
      <c r="C184" s="4" t="s">
        <v>743</v>
      </c>
      <c r="D184" s="4" t="s">
        <v>175</v>
      </c>
      <c r="E184" s="4" t="s">
        <v>457</v>
      </c>
      <c r="F184" s="4" t="s">
        <v>822</v>
      </c>
    </row>
    <row r="185" customFormat="false" ht="15" hidden="false" customHeight="false" outlineLevel="0" collapsed="false">
      <c r="A185" s="4" t="s">
        <v>834</v>
      </c>
      <c r="B185" s="4" t="s">
        <v>819</v>
      </c>
      <c r="C185" s="4" t="s">
        <v>743</v>
      </c>
      <c r="D185" s="4" t="s">
        <v>184</v>
      </c>
      <c r="E185" s="4" t="s">
        <v>447</v>
      </c>
      <c r="F185" s="4" t="s">
        <v>807</v>
      </c>
    </row>
    <row r="186" customFormat="false" ht="15" hidden="false" customHeight="false" outlineLevel="0" collapsed="false">
      <c r="A186" s="4" t="s">
        <v>834</v>
      </c>
      <c r="B186" s="4" t="s">
        <v>819</v>
      </c>
      <c r="C186" s="4" t="s">
        <v>743</v>
      </c>
      <c r="D186" s="4" t="s">
        <v>185</v>
      </c>
      <c r="E186" s="4" t="s">
        <v>567</v>
      </c>
      <c r="F186" s="4" t="s">
        <v>815</v>
      </c>
    </row>
    <row r="187" customFormat="false" ht="15" hidden="false" customHeight="false" outlineLevel="0" collapsed="false">
      <c r="A187" s="4" t="s">
        <v>834</v>
      </c>
      <c r="B187" s="4" t="s">
        <v>819</v>
      </c>
      <c r="C187" s="4" t="s">
        <v>743</v>
      </c>
      <c r="D187" s="4" t="s">
        <v>186</v>
      </c>
      <c r="E187" s="4" t="s">
        <v>587</v>
      </c>
      <c r="F187" s="4" t="s">
        <v>815</v>
      </c>
    </row>
    <row r="188" customFormat="false" ht="15" hidden="false" customHeight="false" outlineLevel="0" collapsed="false">
      <c r="A188" s="4" t="s">
        <v>834</v>
      </c>
      <c r="B188" s="4" t="s">
        <v>819</v>
      </c>
      <c r="C188" s="4" t="s">
        <v>743</v>
      </c>
      <c r="D188" s="4" t="s">
        <v>188</v>
      </c>
      <c r="E188" s="4" t="s">
        <v>532</v>
      </c>
      <c r="F188" s="4" t="s">
        <v>808</v>
      </c>
    </row>
    <row r="189" customFormat="false" ht="15" hidden="false" customHeight="false" outlineLevel="0" collapsed="false">
      <c r="A189" s="4" t="s">
        <v>834</v>
      </c>
      <c r="B189" s="4" t="s">
        <v>819</v>
      </c>
      <c r="C189" s="4" t="s">
        <v>743</v>
      </c>
      <c r="D189" s="4" t="s">
        <v>197</v>
      </c>
      <c r="E189" s="4" t="s">
        <v>632</v>
      </c>
      <c r="F189" s="4" t="s">
        <v>814</v>
      </c>
    </row>
    <row r="190" customFormat="false" ht="15" hidden="false" customHeight="false" outlineLevel="0" collapsed="false">
      <c r="A190" s="4" t="s">
        <v>834</v>
      </c>
      <c r="B190" s="4" t="s">
        <v>819</v>
      </c>
      <c r="C190" s="4" t="s">
        <v>743</v>
      </c>
      <c r="D190" s="4" t="s">
        <v>199</v>
      </c>
      <c r="E190" s="4" t="s">
        <v>647</v>
      </c>
      <c r="F190" s="4" t="s">
        <v>814</v>
      </c>
    </row>
    <row r="191" customFormat="false" ht="15" hidden="false" customHeight="false" outlineLevel="0" collapsed="false">
      <c r="A191" s="4" t="s">
        <v>834</v>
      </c>
      <c r="B191" s="4" t="s">
        <v>819</v>
      </c>
      <c r="C191" s="4" t="s">
        <v>743</v>
      </c>
      <c r="D191" s="4" t="s">
        <v>203</v>
      </c>
      <c r="E191" s="4" t="s">
        <v>642</v>
      </c>
      <c r="F191" s="4" t="s">
        <v>814</v>
      </c>
    </row>
    <row r="192" customFormat="false" ht="15" hidden="false" customHeight="false" outlineLevel="0" collapsed="false">
      <c r="A192" s="4" t="s">
        <v>834</v>
      </c>
      <c r="B192" s="4" t="s">
        <v>819</v>
      </c>
      <c r="C192" s="4" t="s">
        <v>743</v>
      </c>
      <c r="D192" s="4" t="s">
        <v>205</v>
      </c>
      <c r="E192" s="4" t="s">
        <v>582</v>
      </c>
      <c r="F192" s="4" t="s">
        <v>815</v>
      </c>
    </row>
    <row r="193" customFormat="false" ht="15" hidden="false" customHeight="false" outlineLevel="0" collapsed="false">
      <c r="A193" s="4" t="s">
        <v>834</v>
      </c>
      <c r="B193" s="4" t="s">
        <v>819</v>
      </c>
      <c r="C193" s="4" t="s">
        <v>743</v>
      </c>
      <c r="D193" s="4" t="s">
        <v>214</v>
      </c>
      <c r="E193" s="4" t="s">
        <v>572</v>
      </c>
      <c r="F193" s="4" t="s">
        <v>815</v>
      </c>
    </row>
    <row r="194" customFormat="false" ht="15" hidden="false" customHeight="false" outlineLevel="0" collapsed="false">
      <c r="A194" s="4" t="s">
        <v>834</v>
      </c>
      <c r="B194" s="4" t="s">
        <v>819</v>
      </c>
      <c r="C194" s="4" t="s">
        <v>743</v>
      </c>
      <c r="D194" s="4" t="s">
        <v>215</v>
      </c>
      <c r="E194" s="4" t="s">
        <v>667</v>
      </c>
      <c r="F194" s="4" t="s">
        <v>824</v>
      </c>
    </row>
    <row r="195" customFormat="false" ht="15" hidden="false" customHeight="false" outlineLevel="0" collapsed="false">
      <c r="A195" s="4" t="s">
        <v>834</v>
      </c>
      <c r="B195" s="4" t="s">
        <v>819</v>
      </c>
      <c r="C195" s="4" t="s">
        <v>743</v>
      </c>
      <c r="D195" s="4" t="s">
        <v>218</v>
      </c>
      <c r="E195" s="4" t="s">
        <v>692</v>
      </c>
      <c r="F195" s="4" t="s">
        <v>817</v>
      </c>
    </row>
    <row r="196" customFormat="false" ht="15" hidden="false" customHeight="false" outlineLevel="0" collapsed="false">
      <c r="A196" s="4" t="s">
        <v>835</v>
      </c>
      <c r="B196" s="4" t="s">
        <v>826</v>
      </c>
      <c r="C196" s="4" t="s">
        <v>743</v>
      </c>
      <c r="D196" s="4" t="s">
        <v>161</v>
      </c>
      <c r="E196" s="4" t="s">
        <v>513</v>
      </c>
      <c r="F196" s="4" t="s">
        <v>808</v>
      </c>
    </row>
    <row r="197" customFormat="false" ht="15" hidden="false" customHeight="false" outlineLevel="0" collapsed="false">
      <c r="A197" s="4" t="s">
        <v>835</v>
      </c>
      <c r="B197" s="4" t="s">
        <v>826</v>
      </c>
      <c r="C197" s="4" t="s">
        <v>743</v>
      </c>
      <c r="D197" s="4" t="s">
        <v>167</v>
      </c>
      <c r="E197" s="4" t="s">
        <v>538</v>
      </c>
      <c r="F197" s="4" t="s">
        <v>808</v>
      </c>
    </row>
    <row r="198" customFormat="false" ht="15" hidden="false" customHeight="false" outlineLevel="0" collapsed="false">
      <c r="A198" s="4" t="s">
        <v>835</v>
      </c>
      <c r="B198" s="4" t="s">
        <v>826</v>
      </c>
      <c r="C198" s="4" t="s">
        <v>743</v>
      </c>
      <c r="D198" s="4" t="s">
        <v>168</v>
      </c>
      <c r="E198" s="4" t="s">
        <v>428</v>
      </c>
      <c r="F198" s="4" t="s">
        <v>807</v>
      </c>
    </row>
    <row r="199" customFormat="false" ht="15" hidden="false" customHeight="false" outlineLevel="0" collapsed="false">
      <c r="A199" s="4" t="s">
        <v>835</v>
      </c>
      <c r="B199" s="4" t="s">
        <v>826</v>
      </c>
      <c r="C199" s="4" t="s">
        <v>743</v>
      </c>
      <c r="D199" s="4" t="s">
        <v>172</v>
      </c>
      <c r="E199" s="4" t="s">
        <v>523</v>
      </c>
      <c r="F199" s="4" t="s">
        <v>808</v>
      </c>
    </row>
    <row r="200" customFormat="false" ht="15" hidden="false" customHeight="false" outlineLevel="0" collapsed="false">
      <c r="A200" s="4" t="s">
        <v>835</v>
      </c>
      <c r="B200" s="4" t="s">
        <v>826</v>
      </c>
      <c r="C200" s="4" t="s">
        <v>743</v>
      </c>
      <c r="D200" s="4" t="s">
        <v>175</v>
      </c>
      <c r="E200" s="4" t="s">
        <v>448</v>
      </c>
      <c r="F200" s="4" t="s">
        <v>807</v>
      </c>
    </row>
    <row r="201" customFormat="false" ht="15" hidden="false" customHeight="false" outlineLevel="0" collapsed="false">
      <c r="A201" s="4" t="s">
        <v>835</v>
      </c>
      <c r="B201" s="4" t="s">
        <v>826</v>
      </c>
      <c r="C201" s="4" t="s">
        <v>743</v>
      </c>
      <c r="D201" s="4" t="s">
        <v>184</v>
      </c>
      <c r="E201" s="4" t="s">
        <v>433</v>
      </c>
      <c r="F201" s="4" t="s">
        <v>807</v>
      </c>
    </row>
    <row r="202" customFormat="false" ht="15" hidden="false" customHeight="false" outlineLevel="0" collapsed="false">
      <c r="A202" s="4" t="s">
        <v>835</v>
      </c>
      <c r="B202" s="4" t="s">
        <v>826</v>
      </c>
      <c r="C202" s="4" t="s">
        <v>743</v>
      </c>
      <c r="D202" s="4" t="s">
        <v>185</v>
      </c>
      <c r="E202" s="4" t="s">
        <v>558</v>
      </c>
      <c r="F202" s="4" t="s">
        <v>815</v>
      </c>
    </row>
    <row r="203" customFormat="false" ht="15" hidden="false" customHeight="false" outlineLevel="0" collapsed="false">
      <c r="A203" s="4" t="s">
        <v>835</v>
      </c>
      <c r="B203" s="4" t="s">
        <v>826</v>
      </c>
      <c r="C203" s="4" t="s">
        <v>743</v>
      </c>
      <c r="D203" s="4" t="s">
        <v>186</v>
      </c>
      <c r="E203" s="4" t="s">
        <v>553</v>
      </c>
      <c r="F203" s="4" t="s">
        <v>815</v>
      </c>
    </row>
    <row r="204" customFormat="false" ht="15" hidden="false" customHeight="false" outlineLevel="0" collapsed="false">
      <c r="A204" s="4" t="s">
        <v>835</v>
      </c>
      <c r="B204" s="4" t="s">
        <v>826</v>
      </c>
      <c r="C204" s="4" t="s">
        <v>743</v>
      </c>
      <c r="D204" s="4" t="s">
        <v>188</v>
      </c>
      <c r="E204" s="4" t="s">
        <v>543</v>
      </c>
      <c r="F204" s="4" t="s">
        <v>808</v>
      </c>
    </row>
    <row r="205" customFormat="false" ht="15" hidden="false" customHeight="false" outlineLevel="0" collapsed="false">
      <c r="A205" s="4" t="s">
        <v>835</v>
      </c>
      <c r="B205" s="4" t="s">
        <v>826</v>
      </c>
      <c r="C205" s="4" t="s">
        <v>743</v>
      </c>
      <c r="D205" s="4" t="s">
        <v>197</v>
      </c>
      <c r="E205" s="4" t="s">
        <v>623</v>
      </c>
      <c r="F205" s="4" t="s">
        <v>814</v>
      </c>
    </row>
    <row r="206" customFormat="false" ht="15" hidden="false" customHeight="false" outlineLevel="0" collapsed="false">
      <c r="A206" s="4" t="s">
        <v>835</v>
      </c>
      <c r="B206" s="4" t="s">
        <v>826</v>
      </c>
      <c r="C206" s="4" t="s">
        <v>743</v>
      </c>
      <c r="D206" s="4" t="s">
        <v>199</v>
      </c>
      <c r="E206" s="4" t="s">
        <v>648</v>
      </c>
      <c r="F206" s="4" t="s">
        <v>814</v>
      </c>
    </row>
    <row r="207" customFormat="false" ht="15" hidden="false" customHeight="false" outlineLevel="0" collapsed="false">
      <c r="A207" s="4" t="s">
        <v>835</v>
      </c>
      <c r="B207" s="4" t="s">
        <v>826</v>
      </c>
      <c r="C207" s="4" t="s">
        <v>743</v>
      </c>
      <c r="D207" s="4" t="s">
        <v>203</v>
      </c>
      <c r="E207" s="4" t="s">
        <v>643</v>
      </c>
      <c r="F207" s="4" t="s">
        <v>814</v>
      </c>
    </row>
    <row r="208" customFormat="false" ht="15" hidden="false" customHeight="false" outlineLevel="0" collapsed="false">
      <c r="A208" s="4" t="s">
        <v>835</v>
      </c>
      <c r="B208" s="4" t="s">
        <v>826</v>
      </c>
      <c r="C208" s="4" t="s">
        <v>743</v>
      </c>
      <c r="D208" s="4" t="s">
        <v>205</v>
      </c>
      <c r="E208" s="4" t="s">
        <v>573</v>
      </c>
      <c r="F208" s="4" t="s">
        <v>815</v>
      </c>
    </row>
    <row r="209" customFormat="false" ht="15" hidden="false" customHeight="false" outlineLevel="0" collapsed="false">
      <c r="A209" s="4" t="s">
        <v>835</v>
      </c>
      <c r="B209" s="4" t="s">
        <v>826</v>
      </c>
      <c r="C209" s="4" t="s">
        <v>743</v>
      </c>
      <c r="D209" s="4" t="s">
        <v>214</v>
      </c>
      <c r="E209" s="4" t="s">
        <v>568</v>
      </c>
      <c r="F209" s="4" t="s">
        <v>815</v>
      </c>
    </row>
    <row r="210" customFormat="false" ht="15" hidden="false" customHeight="false" outlineLevel="0" collapsed="false">
      <c r="A210" s="4" t="s">
        <v>835</v>
      </c>
      <c r="B210" s="4" t="s">
        <v>826</v>
      </c>
      <c r="C210" s="4" t="s">
        <v>743</v>
      </c>
      <c r="D210" s="4" t="s">
        <v>215</v>
      </c>
      <c r="E210" s="4" t="s">
        <v>668</v>
      </c>
      <c r="F210" s="4" t="s">
        <v>824</v>
      </c>
    </row>
    <row r="211" customFormat="false" ht="15" hidden="false" customHeight="false" outlineLevel="0" collapsed="false">
      <c r="A211" s="4" t="s">
        <v>835</v>
      </c>
      <c r="B211" s="4" t="s">
        <v>826</v>
      </c>
      <c r="C211" s="4" t="s">
        <v>743</v>
      </c>
      <c r="D211" s="4" t="s">
        <v>218</v>
      </c>
      <c r="E211" s="4" t="s">
        <v>698</v>
      </c>
      <c r="F211" s="4" t="s">
        <v>817</v>
      </c>
    </row>
    <row r="212" customFormat="false" ht="15" hidden="false" customHeight="false" outlineLevel="0" collapsed="false">
      <c r="A212" s="4" t="s">
        <v>836</v>
      </c>
      <c r="B212" s="4" t="s">
        <v>828</v>
      </c>
      <c r="C212" s="4" t="s">
        <v>744</v>
      </c>
      <c r="D212" s="4" t="s">
        <v>161</v>
      </c>
      <c r="E212" s="4" t="s">
        <v>530</v>
      </c>
      <c r="F212" s="4" t="s">
        <v>808</v>
      </c>
    </row>
    <row r="213" customFormat="false" ht="15" hidden="false" customHeight="false" outlineLevel="0" collapsed="false">
      <c r="A213" s="4" t="s">
        <v>836</v>
      </c>
      <c r="B213" s="4" t="s">
        <v>828</v>
      </c>
      <c r="C213" s="4" t="s">
        <v>744</v>
      </c>
      <c r="D213" s="4" t="s">
        <v>167</v>
      </c>
      <c r="E213" s="4" t="s">
        <v>550</v>
      </c>
      <c r="F213" s="4" t="s">
        <v>808</v>
      </c>
    </row>
    <row r="214" customFormat="false" ht="15" hidden="false" customHeight="false" outlineLevel="0" collapsed="false">
      <c r="A214" s="4" t="s">
        <v>836</v>
      </c>
      <c r="B214" s="4" t="s">
        <v>828</v>
      </c>
      <c r="C214" s="4" t="s">
        <v>744</v>
      </c>
      <c r="D214" s="4" t="s">
        <v>168</v>
      </c>
      <c r="E214" s="4" t="s">
        <v>440</v>
      </c>
      <c r="F214" s="4" t="s">
        <v>807</v>
      </c>
    </row>
    <row r="215" customFormat="false" ht="15" hidden="false" customHeight="false" outlineLevel="0" collapsed="false">
      <c r="A215" s="4" t="s">
        <v>836</v>
      </c>
      <c r="B215" s="4" t="s">
        <v>828</v>
      </c>
      <c r="C215" s="4" t="s">
        <v>744</v>
      </c>
      <c r="D215" s="4" t="s">
        <v>172</v>
      </c>
      <c r="E215" s="4" t="s">
        <v>535</v>
      </c>
      <c r="F215" s="4" t="s">
        <v>808</v>
      </c>
    </row>
    <row r="216" customFormat="false" ht="15" hidden="false" customHeight="false" outlineLevel="0" collapsed="false">
      <c r="A216" s="4" t="s">
        <v>836</v>
      </c>
      <c r="B216" s="4" t="s">
        <v>828</v>
      </c>
      <c r="C216" s="4" t="s">
        <v>744</v>
      </c>
      <c r="D216" s="4" t="s">
        <v>175</v>
      </c>
      <c r="E216" s="4" t="s">
        <v>435</v>
      </c>
      <c r="F216" s="4" t="s">
        <v>807</v>
      </c>
    </row>
    <row r="217" customFormat="false" ht="15" hidden="false" customHeight="false" outlineLevel="0" collapsed="false">
      <c r="A217" s="4" t="s">
        <v>836</v>
      </c>
      <c r="B217" s="4" t="s">
        <v>828</v>
      </c>
      <c r="C217" s="4" t="s">
        <v>744</v>
      </c>
      <c r="D217" s="4" t="s">
        <v>184</v>
      </c>
      <c r="E217" s="4" t="s">
        <v>450</v>
      </c>
      <c r="F217" s="4" t="s">
        <v>807</v>
      </c>
    </row>
    <row r="218" customFormat="false" ht="15" hidden="false" customHeight="false" outlineLevel="0" collapsed="false">
      <c r="A218" s="4" t="s">
        <v>836</v>
      </c>
      <c r="B218" s="4" t="s">
        <v>828</v>
      </c>
      <c r="C218" s="4" t="s">
        <v>744</v>
      </c>
      <c r="D218" s="4" t="s">
        <v>185</v>
      </c>
      <c r="E218" s="4" t="s">
        <v>575</v>
      </c>
      <c r="F218" s="4" t="s">
        <v>815</v>
      </c>
    </row>
    <row r="219" customFormat="false" ht="15" hidden="false" customHeight="false" outlineLevel="0" collapsed="false">
      <c r="A219" s="4" t="s">
        <v>836</v>
      </c>
      <c r="B219" s="4" t="s">
        <v>828</v>
      </c>
      <c r="C219" s="4" t="s">
        <v>744</v>
      </c>
      <c r="D219" s="4" t="s">
        <v>186</v>
      </c>
      <c r="E219" s="4" t="s">
        <v>560</v>
      </c>
      <c r="F219" s="4" t="s">
        <v>815</v>
      </c>
    </row>
    <row r="220" customFormat="false" ht="15" hidden="false" customHeight="false" outlineLevel="0" collapsed="false">
      <c r="A220" s="4" t="s">
        <v>836</v>
      </c>
      <c r="B220" s="4" t="s">
        <v>828</v>
      </c>
      <c r="C220" s="4" t="s">
        <v>744</v>
      </c>
      <c r="D220" s="4" t="s">
        <v>188</v>
      </c>
      <c r="E220" s="4" t="s">
        <v>540</v>
      </c>
      <c r="F220" s="4" t="s">
        <v>808</v>
      </c>
    </row>
    <row r="221" customFormat="false" ht="15" hidden="false" customHeight="false" outlineLevel="0" collapsed="false">
      <c r="A221" s="4" t="s">
        <v>836</v>
      </c>
      <c r="B221" s="4" t="s">
        <v>828</v>
      </c>
      <c r="C221" s="4" t="s">
        <v>744</v>
      </c>
      <c r="D221" s="4" t="s">
        <v>197</v>
      </c>
      <c r="E221" s="4" t="s">
        <v>635</v>
      </c>
      <c r="F221" s="4" t="s">
        <v>814</v>
      </c>
    </row>
    <row r="222" customFormat="false" ht="15" hidden="false" customHeight="false" outlineLevel="0" collapsed="false">
      <c r="A222" s="4" t="s">
        <v>836</v>
      </c>
      <c r="B222" s="4" t="s">
        <v>828</v>
      </c>
      <c r="C222" s="4" t="s">
        <v>744</v>
      </c>
      <c r="D222" s="4" t="s">
        <v>199</v>
      </c>
      <c r="E222" s="4" t="s">
        <v>640</v>
      </c>
      <c r="F222" s="4" t="s">
        <v>814</v>
      </c>
    </row>
    <row r="223" customFormat="false" ht="15" hidden="false" customHeight="false" outlineLevel="0" collapsed="false">
      <c r="A223" s="4" t="s">
        <v>836</v>
      </c>
      <c r="B223" s="4" t="s">
        <v>828</v>
      </c>
      <c r="C223" s="4" t="s">
        <v>744</v>
      </c>
      <c r="D223" s="4" t="s">
        <v>203</v>
      </c>
      <c r="E223" s="4" t="s">
        <v>655</v>
      </c>
      <c r="F223" s="4" t="s">
        <v>814</v>
      </c>
    </row>
    <row r="224" customFormat="false" ht="15" hidden="false" customHeight="false" outlineLevel="0" collapsed="false">
      <c r="A224" s="4" t="s">
        <v>836</v>
      </c>
      <c r="B224" s="4" t="s">
        <v>828</v>
      </c>
      <c r="C224" s="4" t="s">
        <v>744</v>
      </c>
      <c r="D224" s="4" t="s">
        <v>205</v>
      </c>
      <c r="E224" s="4" t="s">
        <v>570</v>
      </c>
      <c r="F224" s="4" t="s">
        <v>815</v>
      </c>
    </row>
    <row r="225" customFormat="false" ht="15" hidden="false" customHeight="false" outlineLevel="0" collapsed="false">
      <c r="A225" s="4" t="s">
        <v>836</v>
      </c>
      <c r="B225" s="4" t="s">
        <v>828</v>
      </c>
      <c r="C225" s="4" t="s">
        <v>744</v>
      </c>
      <c r="D225" s="4" t="s">
        <v>214</v>
      </c>
      <c r="E225" s="4" t="s">
        <v>590</v>
      </c>
      <c r="F225" s="4" t="s">
        <v>815</v>
      </c>
    </row>
    <row r="226" customFormat="false" ht="15" hidden="false" customHeight="false" outlineLevel="0" collapsed="false">
      <c r="A226" s="4" t="s">
        <v>836</v>
      </c>
      <c r="B226" s="4" t="s">
        <v>828</v>
      </c>
      <c r="C226" s="4" t="s">
        <v>744</v>
      </c>
      <c r="D226" s="4" t="s">
        <v>215</v>
      </c>
      <c r="E226" s="4" t="s">
        <v>675</v>
      </c>
      <c r="F226" s="4" t="s">
        <v>824</v>
      </c>
    </row>
    <row r="227" customFormat="false" ht="15" hidden="false" customHeight="false" outlineLevel="0" collapsed="false">
      <c r="A227" s="4" t="s">
        <v>836</v>
      </c>
      <c r="B227" s="4" t="s">
        <v>828</v>
      </c>
      <c r="C227" s="4" t="s">
        <v>744</v>
      </c>
      <c r="D227" s="4" t="s">
        <v>218</v>
      </c>
      <c r="E227" s="4" t="s">
        <v>715</v>
      </c>
      <c r="F227" s="4" t="s">
        <v>817</v>
      </c>
    </row>
    <row r="228" customFormat="false" ht="15" hidden="false" customHeight="false" outlineLevel="0" collapsed="false">
      <c r="A228" s="4" t="s">
        <v>837</v>
      </c>
      <c r="B228" s="4" t="s">
        <v>805</v>
      </c>
      <c r="C228" s="4" t="s">
        <v>742</v>
      </c>
      <c r="D228" s="4" t="s">
        <v>161</v>
      </c>
      <c r="E228" s="4" t="s">
        <v>551</v>
      </c>
      <c r="F228" s="4" t="s">
        <v>808</v>
      </c>
    </row>
    <row r="229" customFormat="false" ht="15" hidden="false" customHeight="false" outlineLevel="0" collapsed="false">
      <c r="A229" s="4" t="s">
        <v>837</v>
      </c>
      <c r="B229" s="4" t="s">
        <v>805</v>
      </c>
      <c r="C229" s="4" t="s">
        <v>742</v>
      </c>
      <c r="D229" s="4" t="s">
        <v>167</v>
      </c>
      <c r="E229" s="4" t="s">
        <v>546</v>
      </c>
      <c r="F229" s="4" t="s">
        <v>808</v>
      </c>
    </row>
    <row r="230" customFormat="false" ht="15" hidden="false" customHeight="false" outlineLevel="0" collapsed="false">
      <c r="A230" s="4" t="s">
        <v>837</v>
      </c>
      <c r="B230" s="4" t="s">
        <v>805</v>
      </c>
      <c r="C230" s="4" t="s">
        <v>742</v>
      </c>
      <c r="D230" s="4" t="s">
        <v>168</v>
      </c>
      <c r="E230" s="4" t="s">
        <v>436</v>
      </c>
      <c r="F230" s="4" t="s">
        <v>807</v>
      </c>
    </row>
    <row r="231" customFormat="false" ht="15" hidden="false" customHeight="false" outlineLevel="0" collapsed="false">
      <c r="A231" s="4" t="s">
        <v>837</v>
      </c>
      <c r="B231" s="4" t="s">
        <v>805</v>
      </c>
      <c r="C231" s="4" t="s">
        <v>742</v>
      </c>
      <c r="D231" s="4" t="s">
        <v>172</v>
      </c>
      <c r="E231" s="4" t="s">
        <v>536</v>
      </c>
      <c r="F231" s="4" t="s">
        <v>808</v>
      </c>
    </row>
    <row r="232" customFormat="false" ht="15" hidden="false" customHeight="false" outlineLevel="0" collapsed="false">
      <c r="A232" s="4" t="s">
        <v>837</v>
      </c>
      <c r="B232" s="4" t="s">
        <v>805</v>
      </c>
      <c r="C232" s="4" t="s">
        <v>742</v>
      </c>
      <c r="D232" s="4" t="s">
        <v>175</v>
      </c>
      <c r="E232" s="4" t="s">
        <v>461</v>
      </c>
      <c r="F232" s="4" t="s">
        <v>822</v>
      </c>
    </row>
    <row r="233" customFormat="false" ht="15" hidden="false" customHeight="false" outlineLevel="0" collapsed="false">
      <c r="A233" s="4" t="s">
        <v>837</v>
      </c>
      <c r="B233" s="4" t="s">
        <v>805</v>
      </c>
      <c r="C233" s="4" t="s">
        <v>742</v>
      </c>
      <c r="D233" s="4" t="s">
        <v>184</v>
      </c>
      <c r="E233" s="4" t="s">
        <v>446</v>
      </c>
      <c r="F233" s="4" t="s">
        <v>807</v>
      </c>
    </row>
    <row r="234" customFormat="false" ht="15" hidden="false" customHeight="false" outlineLevel="0" collapsed="false">
      <c r="A234" s="4" t="s">
        <v>837</v>
      </c>
      <c r="B234" s="4" t="s">
        <v>805</v>
      </c>
      <c r="C234" s="4" t="s">
        <v>742</v>
      </c>
      <c r="D234" s="4" t="s">
        <v>185</v>
      </c>
      <c r="E234" s="4" t="s">
        <v>566</v>
      </c>
      <c r="F234" s="4" t="s">
        <v>815</v>
      </c>
    </row>
    <row r="235" customFormat="false" ht="15" hidden="false" customHeight="false" outlineLevel="0" collapsed="false">
      <c r="A235" s="4" t="s">
        <v>837</v>
      </c>
      <c r="B235" s="4" t="s">
        <v>805</v>
      </c>
      <c r="C235" s="4" t="s">
        <v>742</v>
      </c>
      <c r="D235" s="4" t="s">
        <v>186</v>
      </c>
      <c r="E235" s="4" t="s">
        <v>586</v>
      </c>
      <c r="F235" s="4" t="s">
        <v>815</v>
      </c>
    </row>
    <row r="236" customFormat="false" ht="15" hidden="false" customHeight="false" outlineLevel="0" collapsed="false">
      <c r="A236" s="4" t="s">
        <v>837</v>
      </c>
      <c r="B236" s="4" t="s">
        <v>805</v>
      </c>
      <c r="C236" s="4" t="s">
        <v>742</v>
      </c>
      <c r="D236" s="4" t="s">
        <v>188</v>
      </c>
      <c r="E236" s="4" t="s">
        <v>541</v>
      </c>
      <c r="F236" s="4" t="s">
        <v>808</v>
      </c>
    </row>
    <row r="237" customFormat="false" ht="15" hidden="false" customHeight="false" outlineLevel="0" collapsed="false">
      <c r="A237" s="4" t="s">
        <v>837</v>
      </c>
      <c r="B237" s="4" t="s">
        <v>805</v>
      </c>
      <c r="C237" s="4" t="s">
        <v>742</v>
      </c>
      <c r="D237" s="4" t="s">
        <v>197</v>
      </c>
      <c r="E237" s="4" t="s">
        <v>656</v>
      </c>
      <c r="F237" s="4" t="s">
        <v>814</v>
      </c>
    </row>
    <row r="238" customFormat="false" ht="15" hidden="false" customHeight="false" outlineLevel="0" collapsed="false">
      <c r="A238" s="4" t="s">
        <v>837</v>
      </c>
      <c r="B238" s="4" t="s">
        <v>805</v>
      </c>
      <c r="C238" s="4" t="s">
        <v>742</v>
      </c>
      <c r="D238" s="4" t="s">
        <v>199</v>
      </c>
      <c r="E238" s="4" t="s">
        <v>646</v>
      </c>
      <c r="F238" s="4" t="s">
        <v>814</v>
      </c>
    </row>
    <row r="239" customFormat="false" ht="15" hidden="false" customHeight="false" outlineLevel="0" collapsed="false">
      <c r="A239" s="4" t="s">
        <v>837</v>
      </c>
      <c r="B239" s="4" t="s">
        <v>805</v>
      </c>
      <c r="C239" s="4" t="s">
        <v>742</v>
      </c>
      <c r="D239" s="4" t="s">
        <v>203</v>
      </c>
      <c r="E239" s="4" t="s">
        <v>636</v>
      </c>
      <c r="F239" s="4" t="s">
        <v>814</v>
      </c>
    </row>
    <row r="240" customFormat="false" ht="15" hidden="false" customHeight="false" outlineLevel="0" collapsed="false">
      <c r="A240" s="4" t="s">
        <v>837</v>
      </c>
      <c r="B240" s="4" t="s">
        <v>805</v>
      </c>
      <c r="C240" s="4" t="s">
        <v>742</v>
      </c>
      <c r="D240" s="4" t="s">
        <v>205</v>
      </c>
      <c r="E240" s="4" t="s">
        <v>581</v>
      </c>
      <c r="F240" s="4" t="s">
        <v>815</v>
      </c>
    </row>
    <row r="241" customFormat="false" ht="15" hidden="false" customHeight="false" outlineLevel="0" collapsed="false">
      <c r="A241" s="4" t="s">
        <v>837</v>
      </c>
      <c r="B241" s="4" t="s">
        <v>805</v>
      </c>
      <c r="C241" s="4" t="s">
        <v>742</v>
      </c>
      <c r="D241" s="4" t="s">
        <v>214</v>
      </c>
      <c r="E241" s="4" t="s">
        <v>556</v>
      </c>
      <c r="F241" s="4" t="s">
        <v>815</v>
      </c>
    </row>
    <row r="242" customFormat="false" ht="15" hidden="false" customHeight="false" outlineLevel="0" collapsed="false">
      <c r="A242" s="4" t="s">
        <v>837</v>
      </c>
      <c r="B242" s="4" t="s">
        <v>805</v>
      </c>
      <c r="C242" s="4" t="s">
        <v>742</v>
      </c>
      <c r="D242" s="4" t="s">
        <v>215</v>
      </c>
      <c r="E242" s="4" t="s">
        <v>676</v>
      </c>
      <c r="F242" s="4" t="s">
        <v>824</v>
      </c>
    </row>
    <row r="243" customFormat="false" ht="15" hidden="false" customHeight="false" outlineLevel="0" collapsed="false">
      <c r="A243" s="4" t="s">
        <v>837</v>
      </c>
      <c r="B243" s="4" t="s">
        <v>805</v>
      </c>
      <c r="C243" s="4" t="s">
        <v>742</v>
      </c>
      <c r="D243" s="4" t="s">
        <v>218</v>
      </c>
      <c r="E243" s="4" t="s">
        <v>696</v>
      </c>
      <c r="F243" s="4" t="s">
        <v>817</v>
      </c>
    </row>
    <row r="244" customFormat="false" ht="15" hidden="false" customHeight="false" outlineLevel="0" collapsed="false">
      <c r="A244" s="4" t="s">
        <v>838</v>
      </c>
      <c r="B244" s="4" t="s">
        <v>821</v>
      </c>
      <c r="C244" s="4" t="s">
        <v>743</v>
      </c>
      <c r="D244" s="4" t="s">
        <v>161</v>
      </c>
      <c r="E244" s="4" t="s">
        <v>509</v>
      </c>
      <c r="F244" s="4" t="s">
        <v>810</v>
      </c>
    </row>
    <row r="245" customFormat="false" ht="15" hidden="false" customHeight="false" outlineLevel="0" collapsed="false">
      <c r="A245" s="4" t="s">
        <v>838</v>
      </c>
      <c r="B245" s="4" t="s">
        <v>821</v>
      </c>
      <c r="C245" s="4" t="s">
        <v>743</v>
      </c>
      <c r="D245" s="4" t="s">
        <v>167</v>
      </c>
      <c r="E245" s="4" t="s">
        <v>514</v>
      </c>
      <c r="F245" s="4" t="s">
        <v>808</v>
      </c>
    </row>
    <row r="246" customFormat="false" ht="15" hidden="false" customHeight="false" outlineLevel="0" collapsed="false">
      <c r="A246" s="4" t="s">
        <v>838</v>
      </c>
      <c r="B246" s="4" t="s">
        <v>821</v>
      </c>
      <c r="C246" s="4" t="s">
        <v>743</v>
      </c>
      <c r="D246" s="4" t="s">
        <v>168</v>
      </c>
      <c r="E246" s="4" t="s">
        <v>444</v>
      </c>
      <c r="F246" s="4" t="s">
        <v>807</v>
      </c>
    </row>
    <row r="247" customFormat="false" ht="15" hidden="false" customHeight="false" outlineLevel="0" collapsed="false">
      <c r="A247" s="4" t="s">
        <v>838</v>
      </c>
      <c r="B247" s="4" t="s">
        <v>821</v>
      </c>
      <c r="C247" s="4" t="s">
        <v>743</v>
      </c>
      <c r="D247" s="4" t="s">
        <v>172</v>
      </c>
      <c r="E247" s="4" t="s">
        <v>534</v>
      </c>
      <c r="F247" s="4" t="s">
        <v>808</v>
      </c>
    </row>
    <row r="248" customFormat="false" ht="15" hidden="false" customHeight="false" outlineLevel="0" collapsed="false">
      <c r="A248" s="4" t="s">
        <v>838</v>
      </c>
      <c r="B248" s="4" t="s">
        <v>821</v>
      </c>
      <c r="C248" s="4" t="s">
        <v>743</v>
      </c>
      <c r="D248" s="4" t="s">
        <v>175</v>
      </c>
      <c r="E248" s="4" t="s">
        <v>479</v>
      </c>
      <c r="F248" s="4" t="s">
        <v>809</v>
      </c>
    </row>
    <row r="249" customFormat="false" ht="15" hidden="false" customHeight="false" outlineLevel="0" collapsed="false">
      <c r="A249" s="4" t="s">
        <v>838</v>
      </c>
      <c r="B249" s="4" t="s">
        <v>821</v>
      </c>
      <c r="C249" s="4" t="s">
        <v>743</v>
      </c>
      <c r="D249" s="4" t="s">
        <v>184</v>
      </c>
      <c r="E249" s="4" t="s">
        <v>474</v>
      </c>
      <c r="F249" s="4" t="s">
        <v>809</v>
      </c>
    </row>
    <row r="250" customFormat="false" ht="15" hidden="false" customHeight="false" outlineLevel="0" collapsed="false">
      <c r="A250" s="4" t="s">
        <v>838</v>
      </c>
      <c r="B250" s="4" t="s">
        <v>821</v>
      </c>
      <c r="C250" s="4" t="s">
        <v>743</v>
      </c>
      <c r="D250" s="4" t="s">
        <v>185</v>
      </c>
      <c r="E250" s="4" t="s">
        <v>554</v>
      </c>
      <c r="F250" s="4" t="s">
        <v>815</v>
      </c>
    </row>
    <row r="251" customFormat="false" ht="15" hidden="false" customHeight="false" outlineLevel="0" collapsed="false">
      <c r="A251" s="4" t="s">
        <v>838</v>
      </c>
      <c r="B251" s="4" t="s">
        <v>821</v>
      </c>
      <c r="C251" s="4" t="s">
        <v>743</v>
      </c>
      <c r="D251" s="4" t="s">
        <v>186</v>
      </c>
      <c r="E251" s="4" t="s">
        <v>584</v>
      </c>
      <c r="F251" s="4" t="s">
        <v>815</v>
      </c>
    </row>
    <row r="252" customFormat="false" ht="15" hidden="false" customHeight="false" outlineLevel="0" collapsed="false">
      <c r="A252" s="4" t="s">
        <v>838</v>
      </c>
      <c r="B252" s="4" t="s">
        <v>821</v>
      </c>
      <c r="C252" s="4" t="s">
        <v>743</v>
      </c>
      <c r="D252" s="4" t="s">
        <v>188</v>
      </c>
      <c r="E252" s="4" t="s">
        <v>654</v>
      </c>
      <c r="F252" s="4" t="s">
        <v>814</v>
      </c>
    </row>
    <row r="253" customFormat="false" ht="15" hidden="false" customHeight="false" outlineLevel="0" collapsed="false">
      <c r="A253" s="4" t="s">
        <v>838</v>
      </c>
      <c r="B253" s="4" t="s">
        <v>821</v>
      </c>
      <c r="C253" s="4" t="s">
        <v>743</v>
      </c>
      <c r="D253" s="4" t="s">
        <v>197</v>
      </c>
      <c r="E253" s="4" t="s">
        <v>649</v>
      </c>
      <c r="F253" s="4" t="s">
        <v>814</v>
      </c>
    </row>
    <row r="254" customFormat="false" ht="15" hidden="false" customHeight="false" outlineLevel="0" collapsed="false">
      <c r="A254" s="4" t="s">
        <v>838</v>
      </c>
      <c r="B254" s="4" t="s">
        <v>821</v>
      </c>
      <c r="C254" s="4" t="s">
        <v>743</v>
      </c>
      <c r="D254" s="4" t="s">
        <v>199</v>
      </c>
      <c r="E254" s="4" t="s">
        <v>704</v>
      </c>
      <c r="F254" s="4" t="s">
        <v>817</v>
      </c>
    </row>
    <row r="255" customFormat="false" ht="15" hidden="false" customHeight="false" outlineLevel="0" collapsed="false">
      <c r="A255" s="4" t="s">
        <v>838</v>
      </c>
      <c r="B255" s="4" t="s">
        <v>821</v>
      </c>
      <c r="C255" s="4" t="s">
        <v>743</v>
      </c>
      <c r="D255" s="4" t="s">
        <v>203</v>
      </c>
      <c r="E255" s="4" t="s">
        <v>699</v>
      </c>
      <c r="F255" s="4" t="s">
        <v>817</v>
      </c>
    </row>
    <row r="256" customFormat="false" ht="15" hidden="false" customHeight="false" outlineLevel="0" collapsed="false">
      <c r="A256" s="4" t="s">
        <v>838</v>
      </c>
      <c r="B256" s="4" t="s">
        <v>821</v>
      </c>
      <c r="C256" s="4" t="s">
        <v>743</v>
      </c>
      <c r="D256" s="4" t="s">
        <v>205</v>
      </c>
      <c r="E256" s="4" t="s">
        <v>714</v>
      </c>
      <c r="F256" s="4" t="s">
        <v>817</v>
      </c>
    </row>
    <row r="257" customFormat="false" ht="15" hidden="false" customHeight="false" outlineLevel="0" collapsed="false">
      <c r="A257" s="4" t="s">
        <v>838</v>
      </c>
      <c r="B257" s="4" t="s">
        <v>821</v>
      </c>
      <c r="C257" s="4" t="s">
        <v>743</v>
      </c>
      <c r="D257" s="4" t="s">
        <v>214</v>
      </c>
      <c r="E257" s="4" t="s">
        <v>719</v>
      </c>
      <c r="F257" s="4" t="s">
        <v>817</v>
      </c>
    </row>
    <row r="258" customFormat="false" ht="15" hidden="false" customHeight="false" outlineLevel="0" collapsed="false">
      <c r="A258" s="4" t="s">
        <v>838</v>
      </c>
      <c r="B258" s="4" t="s">
        <v>821</v>
      </c>
      <c r="C258" s="4" t="s">
        <v>743</v>
      </c>
      <c r="D258" s="4" t="s">
        <v>215</v>
      </c>
      <c r="E258" s="4" t="s">
        <v>679</v>
      </c>
      <c r="F258" s="4" t="s">
        <v>817</v>
      </c>
    </row>
    <row r="259" customFormat="false" ht="15" hidden="false" customHeight="false" outlineLevel="0" collapsed="false">
      <c r="A259" s="4" t="s">
        <v>838</v>
      </c>
      <c r="B259" s="4" t="s">
        <v>821</v>
      </c>
      <c r="C259" s="4" t="s">
        <v>743</v>
      </c>
      <c r="D259" s="4" t="s">
        <v>218</v>
      </c>
      <c r="E259" s="4" t="s">
        <v>709</v>
      </c>
      <c r="F259" s="4" t="s">
        <v>817</v>
      </c>
    </row>
    <row r="260" customFormat="false" ht="15" hidden="false" customHeight="false" outlineLevel="0" collapsed="false">
      <c r="A260" s="4" t="s">
        <v>839</v>
      </c>
      <c r="B260" s="4" t="s">
        <v>805</v>
      </c>
      <c r="C260" s="4" t="s">
        <v>744</v>
      </c>
      <c r="D260" s="4" t="s">
        <v>161</v>
      </c>
      <c r="E260" s="4" t="s">
        <v>506</v>
      </c>
      <c r="F260" s="4" t="s">
        <v>810</v>
      </c>
    </row>
    <row r="261" customFormat="false" ht="15" hidden="false" customHeight="false" outlineLevel="0" collapsed="false">
      <c r="A261" s="4" t="s">
        <v>839</v>
      </c>
      <c r="B261" s="4" t="s">
        <v>805</v>
      </c>
      <c r="C261" s="4" t="s">
        <v>744</v>
      </c>
      <c r="D261" s="4" t="s">
        <v>167</v>
      </c>
      <c r="E261" s="4" t="s">
        <v>551</v>
      </c>
      <c r="F261" s="4" t="s">
        <v>808</v>
      </c>
    </row>
    <row r="262" customFormat="false" ht="15" hidden="false" customHeight="false" outlineLevel="0" collapsed="false">
      <c r="A262" s="4" t="s">
        <v>839</v>
      </c>
      <c r="B262" s="4" t="s">
        <v>805</v>
      </c>
      <c r="C262" s="4" t="s">
        <v>744</v>
      </c>
      <c r="D262" s="4" t="s">
        <v>168</v>
      </c>
      <c r="E262" s="4" t="s">
        <v>451</v>
      </c>
      <c r="F262" s="4" t="s">
        <v>807</v>
      </c>
    </row>
    <row r="263" customFormat="false" ht="15" hidden="false" customHeight="false" outlineLevel="0" collapsed="false">
      <c r="A263" s="4" t="s">
        <v>839</v>
      </c>
      <c r="B263" s="4" t="s">
        <v>805</v>
      </c>
      <c r="C263" s="4" t="s">
        <v>744</v>
      </c>
      <c r="D263" s="4" t="s">
        <v>172</v>
      </c>
      <c r="E263" s="4" t="s">
        <v>441</v>
      </c>
      <c r="F263" s="4" t="s">
        <v>807</v>
      </c>
    </row>
    <row r="264" customFormat="false" ht="15" hidden="false" customHeight="false" outlineLevel="0" collapsed="false">
      <c r="A264" s="4" t="s">
        <v>839</v>
      </c>
      <c r="B264" s="4" t="s">
        <v>805</v>
      </c>
      <c r="C264" s="4" t="s">
        <v>744</v>
      </c>
      <c r="D264" s="4" t="s">
        <v>175</v>
      </c>
      <c r="E264" s="4" t="s">
        <v>486</v>
      </c>
      <c r="F264" s="4" t="s">
        <v>809</v>
      </c>
    </row>
    <row r="265" customFormat="false" ht="15" hidden="false" customHeight="false" outlineLevel="0" collapsed="false">
      <c r="A265" s="4" t="s">
        <v>839</v>
      </c>
      <c r="B265" s="4" t="s">
        <v>805</v>
      </c>
      <c r="C265" s="4" t="s">
        <v>744</v>
      </c>
      <c r="D265" s="4" t="s">
        <v>184</v>
      </c>
      <c r="E265" s="4" t="s">
        <v>476</v>
      </c>
      <c r="F265" s="4" t="s">
        <v>809</v>
      </c>
    </row>
    <row r="266" customFormat="false" ht="15" hidden="false" customHeight="false" outlineLevel="0" collapsed="false">
      <c r="A266" s="4" t="s">
        <v>839</v>
      </c>
      <c r="B266" s="4" t="s">
        <v>805</v>
      </c>
      <c r="C266" s="4" t="s">
        <v>744</v>
      </c>
      <c r="D266" s="4" t="s">
        <v>185</v>
      </c>
      <c r="E266" s="4" t="s">
        <v>576</v>
      </c>
      <c r="F266" s="4" t="s">
        <v>815</v>
      </c>
    </row>
    <row r="267" customFormat="false" ht="15" hidden="false" customHeight="false" outlineLevel="0" collapsed="false">
      <c r="A267" s="4" t="s">
        <v>839</v>
      </c>
      <c r="B267" s="4" t="s">
        <v>805</v>
      </c>
      <c r="C267" s="4" t="s">
        <v>744</v>
      </c>
      <c r="D267" s="4" t="s">
        <v>186</v>
      </c>
      <c r="E267" s="4" t="s">
        <v>591</v>
      </c>
      <c r="F267" s="4" t="s">
        <v>815</v>
      </c>
    </row>
    <row r="268" customFormat="false" ht="15" hidden="false" customHeight="false" outlineLevel="0" collapsed="false">
      <c r="A268" s="4" t="s">
        <v>839</v>
      </c>
      <c r="B268" s="4" t="s">
        <v>805</v>
      </c>
      <c r="C268" s="4" t="s">
        <v>744</v>
      </c>
      <c r="D268" s="4" t="s">
        <v>188</v>
      </c>
      <c r="E268" s="4" t="s">
        <v>701</v>
      </c>
      <c r="F268" s="4" t="s">
        <v>817</v>
      </c>
    </row>
    <row r="269" customFormat="false" ht="15" hidden="false" customHeight="false" outlineLevel="0" collapsed="false">
      <c r="A269" s="4" t="s">
        <v>839</v>
      </c>
      <c r="B269" s="4" t="s">
        <v>805</v>
      </c>
      <c r="C269" s="4" t="s">
        <v>744</v>
      </c>
      <c r="D269" s="4" t="s">
        <v>197</v>
      </c>
      <c r="E269" s="4" t="s">
        <v>626</v>
      </c>
      <c r="F269" s="4" t="s">
        <v>814</v>
      </c>
    </row>
    <row r="270" customFormat="false" ht="15" hidden="false" customHeight="false" outlineLevel="0" collapsed="false">
      <c r="A270" s="4" t="s">
        <v>839</v>
      </c>
      <c r="B270" s="4" t="s">
        <v>805</v>
      </c>
      <c r="C270" s="4" t="s">
        <v>744</v>
      </c>
      <c r="D270" s="4" t="s">
        <v>199</v>
      </c>
      <c r="E270" s="4" t="s">
        <v>716</v>
      </c>
      <c r="F270" s="4" t="s">
        <v>817</v>
      </c>
    </row>
    <row r="271" customFormat="false" ht="15" hidden="false" customHeight="false" outlineLevel="0" collapsed="false">
      <c r="A271" s="4" t="s">
        <v>839</v>
      </c>
      <c r="B271" s="4" t="s">
        <v>805</v>
      </c>
      <c r="C271" s="4" t="s">
        <v>744</v>
      </c>
      <c r="D271" s="4" t="s">
        <v>203</v>
      </c>
      <c r="E271" s="4" t="s">
        <v>651</v>
      </c>
      <c r="F271" s="4" t="s">
        <v>814</v>
      </c>
    </row>
    <row r="272" customFormat="false" ht="15" hidden="false" customHeight="false" outlineLevel="0" collapsed="false">
      <c r="A272" s="4" t="s">
        <v>839</v>
      </c>
      <c r="B272" s="4" t="s">
        <v>805</v>
      </c>
      <c r="C272" s="4" t="s">
        <v>744</v>
      </c>
      <c r="D272" s="4" t="s">
        <v>205</v>
      </c>
      <c r="E272" s="4" t="s">
        <v>711</v>
      </c>
      <c r="F272" s="4" t="s">
        <v>817</v>
      </c>
    </row>
    <row r="273" customFormat="false" ht="15" hidden="false" customHeight="false" outlineLevel="0" collapsed="false">
      <c r="A273" s="4" t="s">
        <v>839</v>
      </c>
      <c r="B273" s="4" t="s">
        <v>805</v>
      </c>
      <c r="C273" s="4" t="s">
        <v>744</v>
      </c>
      <c r="D273" s="4" t="s">
        <v>214</v>
      </c>
      <c r="E273" s="4" t="s">
        <v>721</v>
      </c>
      <c r="F273" s="4" t="s">
        <v>817</v>
      </c>
    </row>
    <row r="274" customFormat="false" ht="15" hidden="false" customHeight="false" outlineLevel="0" collapsed="false">
      <c r="A274" s="4" t="s">
        <v>839</v>
      </c>
      <c r="B274" s="4" t="s">
        <v>805</v>
      </c>
      <c r="C274" s="4" t="s">
        <v>744</v>
      </c>
      <c r="D274" s="4" t="s">
        <v>215</v>
      </c>
      <c r="E274" s="4" t="s">
        <v>681</v>
      </c>
      <c r="F274" s="4" t="s">
        <v>817</v>
      </c>
    </row>
    <row r="275" customFormat="false" ht="15" hidden="false" customHeight="false" outlineLevel="0" collapsed="false">
      <c r="A275" s="4" t="s">
        <v>839</v>
      </c>
      <c r="B275" s="4" t="s">
        <v>805</v>
      </c>
      <c r="C275" s="4" t="s">
        <v>744</v>
      </c>
      <c r="D275" s="4" t="s">
        <v>218</v>
      </c>
      <c r="E275" s="4" t="s">
        <v>706</v>
      </c>
      <c r="F275" s="4" t="s">
        <v>817</v>
      </c>
    </row>
    <row r="276" customFormat="false" ht="15" hidden="false" customHeight="false" outlineLevel="0" collapsed="false">
      <c r="A276" s="4" t="s">
        <v>840</v>
      </c>
      <c r="B276" s="4" t="s">
        <v>819</v>
      </c>
      <c r="C276" s="4" t="s">
        <v>742</v>
      </c>
      <c r="D276" s="4" t="s">
        <v>161</v>
      </c>
      <c r="E276" s="4" t="s">
        <v>502</v>
      </c>
      <c r="F276" s="4" t="s">
        <v>810</v>
      </c>
    </row>
    <row r="277" customFormat="false" ht="15" hidden="false" customHeight="false" outlineLevel="0" collapsed="false">
      <c r="A277" s="4" t="s">
        <v>840</v>
      </c>
      <c r="B277" s="4" t="s">
        <v>819</v>
      </c>
      <c r="C277" s="4" t="s">
        <v>742</v>
      </c>
      <c r="D277" s="4" t="s">
        <v>167</v>
      </c>
      <c r="E277" s="4" t="s">
        <v>542</v>
      </c>
      <c r="F277" s="4" t="s">
        <v>808</v>
      </c>
    </row>
    <row r="278" customFormat="false" ht="15" hidden="false" customHeight="false" outlineLevel="0" collapsed="false">
      <c r="A278" s="4" t="s">
        <v>840</v>
      </c>
      <c r="B278" s="4" t="s">
        <v>819</v>
      </c>
      <c r="C278" s="4" t="s">
        <v>742</v>
      </c>
      <c r="D278" s="4" t="s">
        <v>168</v>
      </c>
      <c r="E278" s="4" t="s">
        <v>432</v>
      </c>
      <c r="F278" s="4" t="s">
        <v>807</v>
      </c>
    </row>
    <row r="279" customFormat="false" ht="15" hidden="false" customHeight="false" outlineLevel="0" collapsed="false">
      <c r="A279" s="4" t="s">
        <v>840</v>
      </c>
      <c r="B279" s="4" t="s">
        <v>819</v>
      </c>
      <c r="C279" s="4" t="s">
        <v>742</v>
      </c>
      <c r="D279" s="4" t="s">
        <v>172</v>
      </c>
      <c r="E279" s="4" t="s">
        <v>442</v>
      </c>
      <c r="F279" s="4" t="s">
        <v>807</v>
      </c>
    </row>
    <row r="280" customFormat="false" ht="15" hidden="false" customHeight="false" outlineLevel="0" collapsed="false">
      <c r="A280" s="4" t="s">
        <v>840</v>
      </c>
      <c r="B280" s="4" t="s">
        <v>819</v>
      </c>
      <c r="C280" s="4" t="s">
        <v>742</v>
      </c>
      <c r="D280" s="4" t="s">
        <v>175</v>
      </c>
      <c r="E280" s="4" t="s">
        <v>467</v>
      </c>
      <c r="F280" s="4" t="s">
        <v>809</v>
      </c>
    </row>
    <row r="281" customFormat="false" ht="15" hidden="false" customHeight="false" outlineLevel="0" collapsed="false">
      <c r="A281" s="4" t="s">
        <v>840</v>
      </c>
      <c r="B281" s="4" t="s">
        <v>819</v>
      </c>
      <c r="C281" s="4" t="s">
        <v>742</v>
      </c>
      <c r="D281" s="4" t="s">
        <v>184</v>
      </c>
      <c r="E281" s="4" t="s">
        <v>472</v>
      </c>
      <c r="F281" s="4" t="s">
        <v>809</v>
      </c>
    </row>
    <row r="282" customFormat="false" ht="15" hidden="false" customHeight="false" outlineLevel="0" collapsed="false">
      <c r="A282" s="4" t="s">
        <v>840</v>
      </c>
      <c r="B282" s="4" t="s">
        <v>819</v>
      </c>
      <c r="C282" s="4" t="s">
        <v>742</v>
      </c>
      <c r="D282" s="4" t="s">
        <v>185</v>
      </c>
      <c r="E282" s="4" t="s">
        <v>562</v>
      </c>
      <c r="F282" s="4" t="s">
        <v>815</v>
      </c>
    </row>
    <row r="283" customFormat="false" ht="15" hidden="false" customHeight="false" outlineLevel="0" collapsed="false">
      <c r="A283" s="4" t="s">
        <v>840</v>
      </c>
      <c r="B283" s="4" t="s">
        <v>819</v>
      </c>
      <c r="C283" s="4" t="s">
        <v>742</v>
      </c>
      <c r="D283" s="4" t="s">
        <v>186</v>
      </c>
      <c r="E283" s="4" t="s">
        <v>577</v>
      </c>
      <c r="F283" s="4" t="s">
        <v>815</v>
      </c>
    </row>
    <row r="284" customFormat="false" ht="15" hidden="false" customHeight="false" outlineLevel="0" collapsed="false">
      <c r="A284" s="4" t="s">
        <v>840</v>
      </c>
      <c r="B284" s="4" t="s">
        <v>819</v>
      </c>
      <c r="C284" s="4" t="s">
        <v>742</v>
      </c>
      <c r="D284" s="4" t="s">
        <v>188</v>
      </c>
      <c r="E284" s="4" t="s">
        <v>677</v>
      </c>
      <c r="F284" s="4" t="s">
        <v>817</v>
      </c>
    </row>
    <row r="285" customFormat="false" ht="15" hidden="false" customHeight="false" outlineLevel="0" collapsed="false">
      <c r="A285" s="4" t="s">
        <v>840</v>
      </c>
      <c r="B285" s="4" t="s">
        <v>819</v>
      </c>
      <c r="C285" s="4" t="s">
        <v>742</v>
      </c>
      <c r="D285" s="4" t="s">
        <v>197</v>
      </c>
      <c r="E285" s="4" t="s">
        <v>637</v>
      </c>
      <c r="F285" s="4" t="s">
        <v>814</v>
      </c>
    </row>
    <row r="286" customFormat="false" ht="15" hidden="false" customHeight="false" outlineLevel="0" collapsed="false">
      <c r="A286" s="4" t="s">
        <v>840</v>
      </c>
      <c r="B286" s="4" t="s">
        <v>819</v>
      </c>
      <c r="C286" s="4" t="s">
        <v>742</v>
      </c>
      <c r="D286" s="4" t="s">
        <v>199</v>
      </c>
      <c r="E286" s="4" t="s">
        <v>707</v>
      </c>
      <c r="F286" s="4" t="s">
        <v>817</v>
      </c>
    </row>
    <row r="287" customFormat="false" ht="15" hidden="false" customHeight="false" outlineLevel="0" collapsed="false">
      <c r="A287" s="4" t="s">
        <v>840</v>
      </c>
      <c r="B287" s="4" t="s">
        <v>819</v>
      </c>
      <c r="C287" s="4" t="s">
        <v>742</v>
      </c>
      <c r="D287" s="4" t="s">
        <v>203</v>
      </c>
      <c r="E287" s="4" t="s">
        <v>652</v>
      </c>
      <c r="F287" s="4" t="s">
        <v>814</v>
      </c>
    </row>
    <row r="288" customFormat="false" ht="15" hidden="false" customHeight="false" outlineLevel="0" collapsed="false">
      <c r="A288" s="4" t="s">
        <v>840</v>
      </c>
      <c r="B288" s="4" t="s">
        <v>819</v>
      </c>
      <c r="C288" s="4" t="s">
        <v>742</v>
      </c>
      <c r="D288" s="4" t="s">
        <v>205</v>
      </c>
      <c r="E288" s="4" t="s">
        <v>702</v>
      </c>
      <c r="F288" s="4" t="s">
        <v>817</v>
      </c>
    </row>
    <row r="289" customFormat="false" ht="15" hidden="false" customHeight="false" outlineLevel="0" collapsed="false">
      <c r="A289" s="4" t="s">
        <v>840</v>
      </c>
      <c r="B289" s="4" t="s">
        <v>819</v>
      </c>
      <c r="C289" s="4" t="s">
        <v>742</v>
      </c>
      <c r="D289" s="4" t="s">
        <v>214</v>
      </c>
      <c r="E289" s="4" t="s">
        <v>712</v>
      </c>
      <c r="F289" s="4" t="s">
        <v>817</v>
      </c>
    </row>
    <row r="290" customFormat="false" ht="15" hidden="false" customHeight="false" outlineLevel="0" collapsed="false">
      <c r="A290" s="4" t="s">
        <v>840</v>
      </c>
      <c r="B290" s="4" t="s">
        <v>819</v>
      </c>
      <c r="C290" s="4" t="s">
        <v>742</v>
      </c>
      <c r="D290" s="4" t="s">
        <v>215</v>
      </c>
      <c r="E290" s="4" t="s">
        <v>717</v>
      </c>
      <c r="F290" s="4" t="s">
        <v>817</v>
      </c>
    </row>
    <row r="291" customFormat="false" ht="15" hidden="false" customHeight="false" outlineLevel="0" collapsed="false">
      <c r="A291" s="4" t="s">
        <v>840</v>
      </c>
      <c r="B291" s="4" t="s">
        <v>819</v>
      </c>
      <c r="C291" s="4" t="s">
        <v>742</v>
      </c>
      <c r="D291" s="4" t="s">
        <v>218</v>
      </c>
      <c r="E291" s="4" t="s">
        <v>697</v>
      </c>
      <c r="F291" s="4" t="s">
        <v>817</v>
      </c>
    </row>
    <row r="292" customFormat="false" ht="15" hidden="false" customHeight="false" outlineLevel="0" collapsed="false">
      <c r="A292" s="4" t="s">
        <v>841</v>
      </c>
      <c r="B292" s="4" t="s">
        <v>819</v>
      </c>
      <c r="C292" s="4" t="s">
        <v>744</v>
      </c>
      <c r="D292" s="4" t="s">
        <v>161</v>
      </c>
      <c r="E292" s="4" t="s">
        <v>492</v>
      </c>
      <c r="F292" s="4" t="s">
        <v>806</v>
      </c>
    </row>
    <row r="293" customFormat="false" ht="15" hidden="false" customHeight="false" outlineLevel="0" collapsed="false">
      <c r="A293" s="4" t="s">
        <v>841</v>
      </c>
      <c r="B293" s="4" t="s">
        <v>819</v>
      </c>
      <c r="C293" s="4" t="s">
        <v>744</v>
      </c>
      <c r="D293" s="4" t="s">
        <v>167</v>
      </c>
      <c r="E293" s="4" t="s">
        <v>497</v>
      </c>
      <c r="F293" s="4" t="s">
        <v>806</v>
      </c>
    </row>
    <row r="294" customFormat="false" ht="15" hidden="false" customHeight="false" outlineLevel="0" collapsed="false">
      <c r="A294" s="4" t="s">
        <v>841</v>
      </c>
      <c r="B294" s="4" t="s">
        <v>819</v>
      </c>
      <c r="C294" s="4" t="s">
        <v>744</v>
      </c>
      <c r="D294" s="4" t="s">
        <v>168</v>
      </c>
      <c r="E294" s="4" t="s">
        <v>422</v>
      </c>
      <c r="F294" s="4" t="s">
        <v>807</v>
      </c>
    </row>
    <row r="295" customFormat="false" ht="15" hidden="false" customHeight="false" outlineLevel="0" collapsed="false">
      <c r="A295" s="4" t="s">
        <v>841</v>
      </c>
      <c r="B295" s="4" t="s">
        <v>819</v>
      </c>
      <c r="C295" s="4" t="s">
        <v>744</v>
      </c>
      <c r="D295" s="4" t="s">
        <v>172</v>
      </c>
      <c r="E295" s="4" t="s">
        <v>457</v>
      </c>
      <c r="F295" s="4" t="s">
        <v>822</v>
      </c>
    </row>
    <row r="296" customFormat="false" ht="15" hidden="false" customHeight="false" outlineLevel="0" collapsed="false">
      <c r="A296" s="4" t="s">
        <v>841</v>
      </c>
      <c r="B296" s="4" t="s">
        <v>819</v>
      </c>
      <c r="C296" s="4" t="s">
        <v>744</v>
      </c>
      <c r="D296" s="4" t="s">
        <v>175</v>
      </c>
      <c r="E296" s="4" t="s">
        <v>462</v>
      </c>
      <c r="F296" s="4" t="s">
        <v>809</v>
      </c>
    </row>
    <row r="297" customFormat="false" ht="15" hidden="false" customHeight="false" outlineLevel="0" collapsed="false">
      <c r="A297" s="4" t="s">
        <v>841</v>
      </c>
      <c r="B297" s="4" t="s">
        <v>819</v>
      </c>
      <c r="C297" s="4" t="s">
        <v>744</v>
      </c>
      <c r="D297" s="4" t="s">
        <v>184</v>
      </c>
      <c r="E297" s="4" t="s">
        <v>477</v>
      </c>
      <c r="F297" s="4" t="s">
        <v>809</v>
      </c>
    </row>
    <row r="298" customFormat="false" ht="15" hidden="false" customHeight="false" outlineLevel="0" collapsed="false">
      <c r="A298" s="4" t="s">
        <v>841</v>
      </c>
      <c r="B298" s="4" t="s">
        <v>819</v>
      </c>
      <c r="C298" s="4" t="s">
        <v>744</v>
      </c>
      <c r="D298" s="4" t="s">
        <v>185</v>
      </c>
      <c r="E298" s="4" t="s">
        <v>487</v>
      </c>
      <c r="F298" s="4" t="s">
        <v>806</v>
      </c>
    </row>
    <row r="299" customFormat="false" ht="15" hidden="false" customHeight="false" outlineLevel="0" collapsed="false">
      <c r="A299" s="4" t="s">
        <v>841</v>
      </c>
      <c r="B299" s="4" t="s">
        <v>819</v>
      </c>
      <c r="C299" s="4" t="s">
        <v>744</v>
      </c>
      <c r="D299" s="4" t="s">
        <v>186</v>
      </c>
      <c r="E299" s="4" t="s">
        <v>507</v>
      </c>
      <c r="F299" s="4" t="s">
        <v>810</v>
      </c>
    </row>
    <row r="300" customFormat="false" ht="15" hidden="false" customHeight="false" outlineLevel="0" collapsed="false">
      <c r="A300" s="4" t="s">
        <v>841</v>
      </c>
      <c r="B300" s="4" t="s">
        <v>819</v>
      </c>
      <c r="C300" s="4" t="s">
        <v>744</v>
      </c>
      <c r="D300" s="4" t="s">
        <v>188</v>
      </c>
      <c r="E300" s="4" t="s">
        <v>592</v>
      </c>
      <c r="F300" s="4" t="s">
        <v>811</v>
      </c>
    </row>
    <row r="301" customFormat="false" ht="15" hidden="false" customHeight="false" outlineLevel="0" collapsed="false">
      <c r="A301" s="4" t="s">
        <v>841</v>
      </c>
      <c r="B301" s="4" t="s">
        <v>819</v>
      </c>
      <c r="C301" s="4" t="s">
        <v>744</v>
      </c>
      <c r="D301" s="4" t="s">
        <v>197</v>
      </c>
      <c r="E301" s="4" t="s">
        <v>602</v>
      </c>
      <c r="F301" s="4" t="s">
        <v>812</v>
      </c>
    </row>
    <row r="302" customFormat="false" ht="15" hidden="false" customHeight="false" outlineLevel="0" collapsed="false">
      <c r="A302" s="4" t="s">
        <v>841</v>
      </c>
      <c r="B302" s="4" t="s">
        <v>819</v>
      </c>
      <c r="C302" s="4" t="s">
        <v>744</v>
      </c>
      <c r="D302" s="4" t="s">
        <v>199</v>
      </c>
      <c r="E302" s="4" t="s">
        <v>612</v>
      </c>
      <c r="F302" s="4" t="s">
        <v>813</v>
      </c>
    </row>
    <row r="303" customFormat="false" ht="15" hidden="false" customHeight="false" outlineLevel="0" collapsed="false">
      <c r="A303" s="4" t="s">
        <v>841</v>
      </c>
      <c r="B303" s="4" t="s">
        <v>819</v>
      </c>
      <c r="C303" s="4" t="s">
        <v>744</v>
      </c>
      <c r="D303" s="4" t="s">
        <v>203</v>
      </c>
      <c r="E303" s="4" t="s">
        <v>627</v>
      </c>
      <c r="F303" s="4" t="s">
        <v>814</v>
      </c>
    </row>
    <row r="304" customFormat="false" ht="15" hidden="false" customHeight="false" outlineLevel="0" collapsed="false">
      <c r="A304" s="4" t="s">
        <v>841</v>
      </c>
      <c r="B304" s="4" t="s">
        <v>819</v>
      </c>
      <c r="C304" s="4" t="s">
        <v>744</v>
      </c>
      <c r="D304" s="4" t="s">
        <v>205</v>
      </c>
      <c r="E304" s="4" t="s">
        <v>552</v>
      </c>
      <c r="F304" s="4" t="s">
        <v>815</v>
      </c>
    </row>
    <row r="305" customFormat="false" ht="15" hidden="false" customHeight="false" outlineLevel="0" collapsed="false">
      <c r="A305" s="4" t="s">
        <v>841</v>
      </c>
      <c r="B305" s="4" t="s">
        <v>819</v>
      </c>
      <c r="C305" s="4" t="s">
        <v>744</v>
      </c>
      <c r="D305" s="4" t="s">
        <v>214</v>
      </c>
      <c r="E305" s="4" t="s">
        <v>662</v>
      </c>
      <c r="F305" s="4" t="s">
        <v>816</v>
      </c>
    </row>
    <row r="306" customFormat="false" ht="15" hidden="false" customHeight="false" outlineLevel="0" collapsed="false">
      <c r="A306" s="4" t="s">
        <v>841</v>
      </c>
      <c r="B306" s="4" t="s">
        <v>819</v>
      </c>
      <c r="C306" s="4" t="s">
        <v>744</v>
      </c>
      <c r="D306" s="4" t="s">
        <v>215</v>
      </c>
      <c r="E306" s="4" t="s">
        <v>667</v>
      </c>
      <c r="F306" s="4" t="s">
        <v>824</v>
      </c>
    </row>
    <row r="307" customFormat="false" ht="15" hidden="false" customHeight="false" outlineLevel="0" collapsed="false">
      <c r="A307" s="4" t="s">
        <v>841</v>
      </c>
      <c r="B307" s="4" t="s">
        <v>819</v>
      </c>
      <c r="C307" s="4" t="s">
        <v>744</v>
      </c>
      <c r="D307" s="4" t="s">
        <v>218</v>
      </c>
      <c r="E307" s="4" t="s">
        <v>692</v>
      </c>
      <c r="F307" s="4" t="s">
        <v>817</v>
      </c>
    </row>
    <row r="308" customFormat="false" ht="15" hidden="false" customHeight="false" outlineLevel="0" collapsed="false">
      <c r="A308" s="4" t="s">
        <v>842</v>
      </c>
      <c r="B308" s="4" t="s">
        <v>826</v>
      </c>
      <c r="C308" s="4" t="s">
        <v>742</v>
      </c>
      <c r="D308" s="4" t="s">
        <v>161</v>
      </c>
      <c r="E308" s="4" t="s">
        <v>528</v>
      </c>
      <c r="F308" s="4" t="s">
        <v>808</v>
      </c>
    </row>
    <row r="309" customFormat="false" ht="15" hidden="false" customHeight="false" outlineLevel="0" collapsed="false">
      <c r="A309" s="4" t="s">
        <v>842</v>
      </c>
      <c r="B309" s="4" t="s">
        <v>826</v>
      </c>
      <c r="C309" s="4" t="s">
        <v>742</v>
      </c>
      <c r="D309" s="4" t="s">
        <v>167</v>
      </c>
      <c r="E309" s="4" t="s">
        <v>548</v>
      </c>
      <c r="F309" s="4" t="s">
        <v>808</v>
      </c>
    </row>
    <row r="310" customFormat="false" ht="15" hidden="false" customHeight="false" outlineLevel="0" collapsed="false">
      <c r="A310" s="4" t="s">
        <v>842</v>
      </c>
      <c r="B310" s="4" t="s">
        <v>826</v>
      </c>
      <c r="C310" s="4" t="s">
        <v>742</v>
      </c>
      <c r="D310" s="4" t="s">
        <v>168</v>
      </c>
      <c r="E310" s="4" t="s">
        <v>438</v>
      </c>
      <c r="F310" s="4" t="s">
        <v>807</v>
      </c>
    </row>
    <row r="311" customFormat="false" ht="15" hidden="false" customHeight="false" outlineLevel="0" collapsed="false">
      <c r="A311" s="4" t="s">
        <v>842</v>
      </c>
      <c r="B311" s="4" t="s">
        <v>826</v>
      </c>
      <c r="C311" s="4" t="s">
        <v>742</v>
      </c>
      <c r="D311" s="4" t="s">
        <v>172</v>
      </c>
      <c r="E311" s="4" t="s">
        <v>443</v>
      </c>
      <c r="F311" s="4" t="s">
        <v>807</v>
      </c>
    </row>
    <row r="312" customFormat="false" ht="15" hidden="false" customHeight="false" outlineLevel="0" collapsed="false">
      <c r="A312" s="4" t="s">
        <v>842</v>
      </c>
      <c r="B312" s="4" t="s">
        <v>826</v>
      </c>
      <c r="C312" s="4" t="s">
        <v>742</v>
      </c>
      <c r="D312" s="4" t="s">
        <v>175</v>
      </c>
      <c r="E312" s="4" t="s">
        <v>473</v>
      </c>
      <c r="F312" s="4" t="s">
        <v>809</v>
      </c>
    </row>
    <row r="313" customFormat="false" ht="15" hidden="false" customHeight="false" outlineLevel="0" collapsed="false">
      <c r="A313" s="4" t="s">
        <v>842</v>
      </c>
      <c r="B313" s="4" t="s">
        <v>826</v>
      </c>
      <c r="C313" s="4" t="s">
        <v>742</v>
      </c>
      <c r="D313" s="4" t="s">
        <v>184</v>
      </c>
      <c r="E313" s="4" t="s">
        <v>478</v>
      </c>
      <c r="F313" s="4" t="s">
        <v>809</v>
      </c>
    </row>
    <row r="314" customFormat="false" ht="15" hidden="false" customHeight="false" outlineLevel="0" collapsed="false">
      <c r="A314" s="4" t="s">
        <v>842</v>
      </c>
      <c r="B314" s="4" t="s">
        <v>826</v>
      </c>
      <c r="C314" s="4" t="s">
        <v>742</v>
      </c>
      <c r="D314" s="4" t="s">
        <v>185</v>
      </c>
      <c r="E314" s="4" t="s">
        <v>483</v>
      </c>
      <c r="F314" s="4" t="s">
        <v>809</v>
      </c>
    </row>
    <row r="315" customFormat="false" ht="15" hidden="false" customHeight="false" outlineLevel="0" collapsed="false">
      <c r="A315" s="4" t="s">
        <v>842</v>
      </c>
      <c r="B315" s="4" t="s">
        <v>826</v>
      </c>
      <c r="C315" s="4" t="s">
        <v>742</v>
      </c>
      <c r="D315" s="4" t="s">
        <v>186</v>
      </c>
      <c r="E315" s="4" t="s">
        <v>578</v>
      </c>
      <c r="F315" s="4" t="s">
        <v>815</v>
      </c>
    </row>
    <row r="316" customFormat="false" ht="15" hidden="false" customHeight="false" outlineLevel="0" collapsed="false">
      <c r="A316" s="4" t="s">
        <v>842</v>
      </c>
      <c r="B316" s="4" t="s">
        <v>826</v>
      </c>
      <c r="C316" s="4" t="s">
        <v>742</v>
      </c>
      <c r="D316" s="4" t="s">
        <v>188</v>
      </c>
      <c r="E316" s="4" t="s">
        <v>718</v>
      </c>
      <c r="F316" s="4" t="s">
        <v>817</v>
      </c>
    </row>
    <row r="317" customFormat="false" ht="15" hidden="false" customHeight="false" outlineLevel="0" collapsed="false">
      <c r="A317" s="4" t="s">
        <v>842</v>
      </c>
      <c r="B317" s="4" t="s">
        <v>826</v>
      </c>
      <c r="C317" s="4" t="s">
        <v>742</v>
      </c>
      <c r="D317" s="4" t="s">
        <v>197</v>
      </c>
      <c r="E317" s="4" t="s">
        <v>638</v>
      </c>
      <c r="F317" s="4" t="s">
        <v>814</v>
      </c>
    </row>
    <row r="318" customFormat="false" ht="15" hidden="false" customHeight="false" outlineLevel="0" collapsed="false">
      <c r="A318" s="4" t="s">
        <v>842</v>
      </c>
      <c r="B318" s="4" t="s">
        <v>826</v>
      </c>
      <c r="C318" s="4" t="s">
        <v>742</v>
      </c>
      <c r="D318" s="4" t="s">
        <v>199</v>
      </c>
      <c r="E318" s="4" t="s">
        <v>653</v>
      </c>
      <c r="F318" s="4" t="s">
        <v>814</v>
      </c>
    </row>
    <row r="319" customFormat="false" ht="15" hidden="false" customHeight="false" outlineLevel="0" collapsed="false">
      <c r="A319" s="4" t="s">
        <v>842</v>
      </c>
      <c r="B319" s="4" t="s">
        <v>826</v>
      </c>
      <c r="C319" s="4" t="s">
        <v>742</v>
      </c>
      <c r="D319" s="4" t="s">
        <v>203</v>
      </c>
      <c r="E319" s="4" t="s">
        <v>708</v>
      </c>
      <c r="F319" s="4" t="s">
        <v>817</v>
      </c>
    </row>
    <row r="320" customFormat="false" ht="15" hidden="false" customHeight="false" outlineLevel="0" collapsed="false">
      <c r="A320" s="4" t="s">
        <v>842</v>
      </c>
      <c r="B320" s="4" t="s">
        <v>826</v>
      </c>
      <c r="C320" s="4" t="s">
        <v>742</v>
      </c>
      <c r="D320" s="4" t="s">
        <v>205</v>
      </c>
      <c r="E320" s="4" t="s">
        <v>683</v>
      </c>
      <c r="F320" s="4" t="s">
        <v>817</v>
      </c>
    </row>
    <row r="321" customFormat="false" ht="15" hidden="false" customHeight="false" outlineLevel="0" collapsed="false">
      <c r="A321" s="4" t="s">
        <v>842</v>
      </c>
      <c r="B321" s="4" t="s">
        <v>826</v>
      </c>
      <c r="C321" s="4" t="s">
        <v>742</v>
      </c>
      <c r="D321" s="4" t="s">
        <v>214</v>
      </c>
      <c r="E321" s="4" t="s">
        <v>713</v>
      </c>
      <c r="F321" s="4" t="s">
        <v>817</v>
      </c>
    </row>
    <row r="322" customFormat="false" ht="15" hidden="false" customHeight="false" outlineLevel="0" collapsed="false">
      <c r="A322" s="4" t="s">
        <v>842</v>
      </c>
      <c r="B322" s="4" t="s">
        <v>826</v>
      </c>
      <c r="C322" s="4" t="s">
        <v>742</v>
      </c>
      <c r="D322" s="4" t="s">
        <v>215</v>
      </c>
      <c r="E322" s="4" t="s">
        <v>693</v>
      </c>
      <c r="F322" s="4" t="s">
        <v>817</v>
      </c>
    </row>
    <row r="323" customFormat="false" ht="15" hidden="false" customHeight="false" outlineLevel="0" collapsed="false">
      <c r="A323" s="4" t="s">
        <v>842</v>
      </c>
      <c r="B323" s="4" t="s">
        <v>826</v>
      </c>
      <c r="C323" s="4" t="s">
        <v>742</v>
      </c>
      <c r="D323" s="4" t="s">
        <v>218</v>
      </c>
      <c r="E323" s="4" t="s">
        <v>703</v>
      </c>
      <c r="F323" s="4" t="s">
        <v>817</v>
      </c>
    </row>
    <row r="324" customFormat="false" ht="15" hidden="false" customHeight="false" outlineLevel="0" collapsed="false">
      <c r="A324" s="4" t="s">
        <v>843</v>
      </c>
      <c r="B324" s="4" t="s">
        <v>828</v>
      </c>
      <c r="C324" s="4" t="s">
        <v>743</v>
      </c>
      <c r="D324" s="4" t="s">
        <v>161</v>
      </c>
      <c r="E324" s="4" t="s">
        <v>510</v>
      </c>
      <c r="F324" s="4" t="s">
        <v>810</v>
      </c>
    </row>
    <row r="325" customFormat="false" ht="15" hidden="false" customHeight="false" outlineLevel="0" collapsed="false">
      <c r="A325" s="4" t="s">
        <v>843</v>
      </c>
      <c r="B325" s="4" t="s">
        <v>828</v>
      </c>
      <c r="C325" s="4" t="s">
        <v>743</v>
      </c>
      <c r="D325" s="4" t="s">
        <v>167</v>
      </c>
      <c r="E325" s="4" t="s">
        <v>515</v>
      </c>
      <c r="F325" s="4" t="s">
        <v>808</v>
      </c>
    </row>
    <row r="326" customFormat="false" ht="15" hidden="false" customHeight="false" outlineLevel="0" collapsed="false">
      <c r="A326" s="4" t="s">
        <v>843</v>
      </c>
      <c r="B326" s="4" t="s">
        <v>828</v>
      </c>
      <c r="C326" s="4" t="s">
        <v>743</v>
      </c>
      <c r="D326" s="4" t="s">
        <v>168</v>
      </c>
      <c r="E326" s="4" t="s">
        <v>445</v>
      </c>
      <c r="F326" s="4" t="s">
        <v>807</v>
      </c>
    </row>
    <row r="327" customFormat="false" ht="15" hidden="false" customHeight="false" outlineLevel="0" collapsed="false">
      <c r="A327" s="4" t="s">
        <v>843</v>
      </c>
      <c r="B327" s="4" t="s">
        <v>828</v>
      </c>
      <c r="C327" s="4" t="s">
        <v>743</v>
      </c>
      <c r="D327" s="4" t="s">
        <v>172</v>
      </c>
      <c r="E327" s="4" t="s">
        <v>545</v>
      </c>
      <c r="F327" s="4" t="s">
        <v>808</v>
      </c>
    </row>
    <row r="328" customFormat="false" ht="15" hidden="false" customHeight="false" outlineLevel="0" collapsed="false">
      <c r="A328" s="4" t="s">
        <v>843</v>
      </c>
      <c r="B328" s="4" t="s">
        <v>828</v>
      </c>
      <c r="C328" s="4" t="s">
        <v>743</v>
      </c>
      <c r="D328" s="4" t="s">
        <v>175</v>
      </c>
      <c r="E328" s="4" t="s">
        <v>485</v>
      </c>
      <c r="F328" s="4" t="s">
        <v>809</v>
      </c>
    </row>
    <row r="329" customFormat="false" ht="15" hidden="false" customHeight="false" outlineLevel="0" collapsed="false">
      <c r="A329" s="4" t="s">
        <v>843</v>
      </c>
      <c r="B329" s="4" t="s">
        <v>828</v>
      </c>
      <c r="C329" s="4" t="s">
        <v>743</v>
      </c>
      <c r="D329" s="4" t="s">
        <v>184</v>
      </c>
      <c r="E329" s="4" t="s">
        <v>475</v>
      </c>
      <c r="F329" s="4" t="s">
        <v>809</v>
      </c>
    </row>
    <row r="330" customFormat="false" ht="15" hidden="false" customHeight="false" outlineLevel="0" collapsed="false">
      <c r="A330" s="4" t="s">
        <v>843</v>
      </c>
      <c r="B330" s="4" t="s">
        <v>828</v>
      </c>
      <c r="C330" s="4" t="s">
        <v>743</v>
      </c>
      <c r="D330" s="4" t="s">
        <v>185</v>
      </c>
      <c r="E330" s="4" t="s">
        <v>585</v>
      </c>
      <c r="F330" s="4" t="s">
        <v>815</v>
      </c>
    </row>
    <row r="331" customFormat="false" ht="15" hidden="false" customHeight="false" outlineLevel="0" collapsed="false">
      <c r="A331" s="4" t="s">
        <v>843</v>
      </c>
      <c r="B331" s="4" t="s">
        <v>828</v>
      </c>
      <c r="C331" s="4" t="s">
        <v>743</v>
      </c>
      <c r="D331" s="4" t="s">
        <v>186</v>
      </c>
      <c r="E331" s="4" t="s">
        <v>580</v>
      </c>
      <c r="F331" s="4" t="s">
        <v>815</v>
      </c>
    </row>
    <row r="332" customFormat="false" ht="15" hidden="false" customHeight="false" outlineLevel="0" collapsed="false">
      <c r="A332" s="4" t="s">
        <v>843</v>
      </c>
      <c r="B332" s="4" t="s">
        <v>828</v>
      </c>
      <c r="C332" s="4" t="s">
        <v>743</v>
      </c>
      <c r="D332" s="4" t="s">
        <v>188</v>
      </c>
      <c r="E332" s="4" t="s">
        <v>650</v>
      </c>
      <c r="F332" s="4" t="s">
        <v>814</v>
      </c>
    </row>
    <row r="333" customFormat="false" ht="15" hidden="false" customHeight="false" outlineLevel="0" collapsed="false">
      <c r="A333" s="4" t="s">
        <v>843</v>
      </c>
      <c r="B333" s="4" t="s">
        <v>828</v>
      </c>
      <c r="C333" s="4" t="s">
        <v>743</v>
      </c>
      <c r="D333" s="4" t="s">
        <v>197</v>
      </c>
      <c r="E333" s="4" t="s">
        <v>645</v>
      </c>
      <c r="F333" s="4" t="s">
        <v>814</v>
      </c>
    </row>
    <row r="334" customFormat="false" ht="15" hidden="false" customHeight="false" outlineLevel="0" collapsed="false">
      <c r="A334" s="4" t="s">
        <v>843</v>
      </c>
      <c r="B334" s="4" t="s">
        <v>828</v>
      </c>
      <c r="C334" s="4" t="s">
        <v>743</v>
      </c>
      <c r="D334" s="4" t="s">
        <v>199</v>
      </c>
      <c r="E334" s="4" t="s">
        <v>695</v>
      </c>
      <c r="F334" s="4" t="s">
        <v>817</v>
      </c>
    </row>
    <row r="335" customFormat="false" ht="15" hidden="false" customHeight="false" outlineLevel="0" collapsed="false">
      <c r="A335" s="4" t="s">
        <v>843</v>
      </c>
      <c r="B335" s="4" t="s">
        <v>828</v>
      </c>
      <c r="C335" s="4" t="s">
        <v>743</v>
      </c>
      <c r="D335" s="4" t="s">
        <v>203</v>
      </c>
      <c r="E335" s="4" t="s">
        <v>720</v>
      </c>
      <c r="F335" s="4" t="s">
        <v>817</v>
      </c>
    </row>
    <row r="336" customFormat="false" ht="15" hidden="false" customHeight="false" outlineLevel="0" collapsed="false">
      <c r="A336" s="4" t="s">
        <v>843</v>
      </c>
      <c r="B336" s="4" t="s">
        <v>828</v>
      </c>
      <c r="C336" s="4" t="s">
        <v>743</v>
      </c>
      <c r="D336" s="4" t="s">
        <v>205</v>
      </c>
      <c r="E336" s="4" t="s">
        <v>705</v>
      </c>
      <c r="F336" s="4" t="s">
        <v>817</v>
      </c>
    </row>
    <row r="337" customFormat="false" ht="15" hidden="false" customHeight="false" outlineLevel="0" collapsed="false">
      <c r="A337" s="4" t="s">
        <v>843</v>
      </c>
      <c r="B337" s="4" t="s">
        <v>828</v>
      </c>
      <c r="C337" s="4" t="s">
        <v>743</v>
      </c>
      <c r="D337" s="4" t="s">
        <v>214</v>
      </c>
      <c r="E337" s="4" t="s">
        <v>710</v>
      </c>
      <c r="F337" s="4" t="s">
        <v>817</v>
      </c>
    </row>
    <row r="338" customFormat="false" ht="15" hidden="false" customHeight="false" outlineLevel="0" collapsed="false">
      <c r="A338" s="4" t="s">
        <v>843</v>
      </c>
      <c r="B338" s="4" t="s">
        <v>828</v>
      </c>
      <c r="C338" s="4" t="s">
        <v>743</v>
      </c>
      <c r="D338" s="4" t="s">
        <v>215</v>
      </c>
      <c r="E338" s="4" t="s">
        <v>690</v>
      </c>
      <c r="F338" s="4" t="s">
        <v>817</v>
      </c>
    </row>
    <row r="339" customFormat="false" ht="15" hidden="false" customHeight="false" outlineLevel="0" collapsed="false">
      <c r="A339" s="4" t="s">
        <v>843</v>
      </c>
      <c r="B339" s="4" t="s">
        <v>828</v>
      </c>
      <c r="C339" s="4" t="s">
        <v>743</v>
      </c>
      <c r="D339" s="4" t="s">
        <v>218</v>
      </c>
      <c r="E339" s="4" t="s">
        <v>700</v>
      </c>
      <c r="F339" s="4" t="s">
        <v>817</v>
      </c>
    </row>
    <row r="340" customFormat="false" ht="15" hidden="false" customHeight="false" outlineLevel="0" collapsed="false">
      <c r="A340" s="4" t="s">
        <v>844</v>
      </c>
      <c r="B340" s="4" t="s">
        <v>821</v>
      </c>
      <c r="C340" s="4" t="s">
        <v>742</v>
      </c>
      <c r="D340" s="4" t="s">
        <v>161</v>
      </c>
      <c r="E340" s="4" t="s">
        <v>494</v>
      </c>
      <c r="F340" s="4" t="s">
        <v>806</v>
      </c>
    </row>
    <row r="341" customFormat="false" ht="15" hidden="false" customHeight="false" outlineLevel="0" collapsed="false">
      <c r="A341" s="4" t="s">
        <v>844</v>
      </c>
      <c r="B341" s="4" t="s">
        <v>821</v>
      </c>
      <c r="C341" s="4" t="s">
        <v>742</v>
      </c>
      <c r="D341" s="4" t="s">
        <v>167</v>
      </c>
      <c r="E341" s="4" t="s">
        <v>499</v>
      </c>
      <c r="F341" s="4" t="s">
        <v>806</v>
      </c>
    </row>
    <row r="342" customFormat="false" ht="15" hidden="false" customHeight="false" outlineLevel="0" collapsed="false">
      <c r="A342" s="4" t="s">
        <v>844</v>
      </c>
      <c r="B342" s="4" t="s">
        <v>821</v>
      </c>
      <c r="C342" s="4" t="s">
        <v>742</v>
      </c>
      <c r="D342" s="4" t="s">
        <v>168</v>
      </c>
      <c r="E342" s="4" t="s">
        <v>424</v>
      </c>
      <c r="F342" s="4" t="s">
        <v>807</v>
      </c>
    </row>
    <row r="343" customFormat="false" ht="15" hidden="false" customHeight="false" outlineLevel="0" collapsed="false">
      <c r="A343" s="4" t="s">
        <v>844</v>
      </c>
      <c r="B343" s="4" t="s">
        <v>821</v>
      </c>
      <c r="C343" s="4" t="s">
        <v>742</v>
      </c>
      <c r="D343" s="4" t="s">
        <v>172</v>
      </c>
      <c r="E343" s="4" t="s">
        <v>454</v>
      </c>
      <c r="F343" s="4" t="s">
        <v>822</v>
      </c>
    </row>
    <row r="344" customFormat="false" ht="15" hidden="false" customHeight="false" outlineLevel="0" collapsed="false">
      <c r="A344" s="4" t="s">
        <v>844</v>
      </c>
      <c r="B344" s="4" t="s">
        <v>821</v>
      </c>
      <c r="C344" s="4" t="s">
        <v>742</v>
      </c>
      <c r="D344" s="4" t="s">
        <v>175</v>
      </c>
      <c r="E344" s="4" t="s">
        <v>464</v>
      </c>
      <c r="F344" s="4" t="s">
        <v>809</v>
      </c>
    </row>
    <row r="345" customFormat="false" ht="15" hidden="false" customHeight="false" outlineLevel="0" collapsed="false">
      <c r="A345" s="4" t="s">
        <v>844</v>
      </c>
      <c r="B345" s="4" t="s">
        <v>821</v>
      </c>
      <c r="C345" s="4" t="s">
        <v>742</v>
      </c>
      <c r="D345" s="4" t="s">
        <v>184</v>
      </c>
      <c r="E345" s="4" t="s">
        <v>469</v>
      </c>
      <c r="F345" s="4" t="s">
        <v>809</v>
      </c>
    </row>
    <row r="346" customFormat="false" ht="15" hidden="false" customHeight="false" outlineLevel="0" collapsed="false">
      <c r="A346" s="4" t="s">
        <v>844</v>
      </c>
      <c r="B346" s="4" t="s">
        <v>821</v>
      </c>
      <c r="C346" s="4" t="s">
        <v>742</v>
      </c>
      <c r="D346" s="4" t="s">
        <v>185</v>
      </c>
      <c r="E346" s="4" t="s">
        <v>489</v>
      </c>
      <c r="F346" s="4" t="s">
        <v>806</v>
      </c>
    </row>
    <row r="347" customFormat="false" ht="15" hidden="false" customHeight="false" outlineLevel="0" collapsed="false">
      <c r="A347" s="4" t="s">
        <v>844</v>
      </c>
      <c r="B347" s="4" t="s">
        <v>821</v>
      </c>
      <c r="C347" s="4" t="s">
        <v>742</v>
      </c>
      <c r="D347" s="4" t="s">
        <v>186</v>
      </c>
      <c r="E347" s="4" t="s">
        <v>504</v>
      </c>
      <c r="F347" s="4" t="s">
        <v>810</v>
      </c>
    </row>
    <row r="348" customFormat="false" ht="15" hidden="false" customHeight="false" outlineLevel="0" collapsed="false">
      <c r="A348" s="4" t="s">
        <v>844</v>
      </c>
      <c r="B348" s="4" t="s">
        <v>821</v>
      </c>
      <c r="C348" s="4" t="s">
        <v>742</v>
      </c>
      <c r="D348" s="4" t="s">
        <v>188</v>
      </c>
      <c r="E348" s="4" t="s">
        <v>594</v>
      </c>
      <c r="F348" s="4" t="s">
        <v>811</v>
      </c>
    </row>
    <row r="349" customFormat="false" ht="15" hidden="false" customHeight="false" outlineLevel="0" collapsed="false">
      <c r="A349" s="4" t="s">
        <v>844</v>
      </c>
      <c r="B349" s="4" t="s">
        <v>821</v>
      </c>
      <c r="C349" s="4" t="s">
        <v>742</v>
      </c>
      <c r="D349" s="4" t="s">
        <v>197</v>
      </c>
      <c r="E349" s="4" t="s">
        <v>604</v>
      </c>
      <c r="F349" s="4" t="s">
        <v>812</v>
      </c>
    </row>
    <row r="350" customFormat="false" ht="15" hidden="false" customHeight="false" outlineLevel="0" collapsed="false">
      <c r="A350" s="4" t="s">
        <v>844</v>
      </c>
      <c r="B350" s="4" t="s">
        <v>821</v>
      </c>
      <c r="C350" s="4" t="s">
        <v>742</v>
      </c>
      <c r="D350" s="4" t="s">
        <v>199</v>
      </c>
      <c r="E350" s="4" t="s">
        <v>614</v>
      </c>
      <c r="F350" s="4" t="s">
        <v>813</v>
      </c>
    </row>
    <row r="351" customFormat="false" ht="15" hidden="false" customHeight="false" outlineLevel="0" collapsed="false">
      <c r="A351" s="4" t="s">
        <v>844</v>
      </c>
      <c r="B351" s="4" t="s">
        <v>821</v>
      </c>
      <c r="C351" s="4" t="s">
        <v>742</v>
      </c>
      <c r="D351" s="4" t="s">
        <v>203</v>
      </c>
      <c r="E351" s="4" t="s">
        <v>624</v>
      </c>
      <c r="F351" s="4" t="s">
        <v>814</v>
      </c>
    </row>
    <row r="352" customFormat="false" ht="15" hidden="false" customHeight="false" outlineLevel="0" collapsed="false">
      <c r="A352" s="4" t="s">
        <v>844</v>
      </c>
      <c r="B352" s="4" t="s">
        <v>821</v>
      </c>
      <c r="C352" s="4" t="s">
        <v>742</v>
      </c>
      <c r="D352" s="4" t="s">
        <v>205</v>
      </c>
      <c r="E352" s="4" t="s">
        <v>564</v>
      </c>
      <c r="F352" s="4" t="s">
        <v>815</v>
      </c>
    </row>
    <row r="353" customFormat="false" ht="15" hidden="false" customHeight="false" outlineLevel="0" collapsed="false">
      <c r="A353" s="4" t="s">
        <v>844</v>
      </c>
      <c r="B353" s="4" t="s">
        <v>821</v>
      </c>
      <c r="C353" s="4" t="s">
        <v>742</v>
      </c>
      <c r="D353" s="4" t="s">
        <v>214</v>
      </c>
      <c r="E353" s="4" t="s">
        <v>659</v>
      </c>
      <c r="F353" s="4" t="s">
        <v>816</v>
      </c>
    </row>
    <row r="354" customFormat="false" ht="15" hidden="false" customHeight="false" outlineLevel="0" collapsed="false">
      <c r="A354" s="4" t="s">
        <v>844</v>
      </c>
      <c r="B354" s="4" t="s">
        <v>821</v>
      </c>
      <c r="C354" s="4" t="s">
        <v>742</v>
      </c>
      <c r="D354" s="4" t="s">
        <v>215</v>
      </c>
      <c r="E354" s="4" t="s">
        <v>599</v>
      </c>
      <c r="F354" s="4" t="s">
        <v>812</v>
      </c>
    </row>
    <row r="355" customFormat="false" ht="15" hidden="false" customHeight="false" outlineLevel="0" collapsed="false">
      <c r="A355" s="4" t="s">
        <v>844</v>
      </c>
      <c r="B355" s="4" t="s">
        <v>821</v>
      </c>
      <c r="C355" s="4" t="s">
        <v>742</v>
      </c>
      <c r="D355" s="4" t="s">
        <v>218</v>
      </c>
      <c r="E355" s="4" t="s">
        <v>684</v>
      </c>
      <c r="F355" s="4" t="s">
        <v>817</v>
      </c>
    </row>
    <row r="356" customFormat="false" ht="15" hidden="false" customHeight="false" outlineLevel="0" collapsed="false">
      <c r="A356" s="4" t="s">
        <v>845</v>
      </c>
      <c r="B356" s="4" t="s">
        <v>805</v>
      </c>
      <c r="C356" s="4" t="s">
        <v>743</v>
      </c>
      <c r="D356" s="4" t="s">
        <v>161</v>
      </c>
      <c r="E356" s="4" t="s">
        <v>496</v>
      </c>
      <c r="F356" s="4" t="s">
        <v>806</v>
      </c>
    </row>
    <row r="357" customFormat="false" ht="15" hidden="false" customHeight="false" outlineLevel="0" collapsed="false">
      <c r="A357" s="4" t="s">
        <v>845</v>
      </c>
      <c r="B357" s="4" t="s">
        <v>805</v>
      </c>
      <c r="C357" s="4" t="s">
        <v>743</v>
      </c>
      <c r="D357" s="4" t="s">
        <v>167</v>
      </c>
      <c r="E357" s="4" t="s">
        <v>501</v>
      </c>
      <c r="F357" s="4" t="s">
        <v>806</v>
      </c>
    </row>
    <row r="358" customFormat="false" ht="15" hidden="false" customHeight="false" outlineLevel="0" collapsed="false">
      <c r="A358" s="4" t="s">
        <v>845</v>
      </c>
      <c r="B358" s="4" t="s">
        <v>805</v>
      </c>
      <c r="C358" s="4" t="s">
        <v>743</v>
      </c>
      <c r="D358" s="4" t="s">
        <v>168</v>
      </c>
      <c r="E358" s="4" t="s">
        <v>426</v>
      </c>
      <c r="F358" s="4" t="s">
        <v>807</v>
      </c>
    </row>
    <row r="359" customFormat="false" ht="15" hidden="false" customHeight="false" outlineLevel="0" collapsed="false">
      <c r="A359" s="4" t="s">
        <v>845</v>
      </c>
      <c r="B359" s="4" t="s">
        <v>805</v>
      </c>
      <c r="C359" s="4" t="s">
        <v>743</v>
      </c>
      <c r="D359" s="4" t="s">
        <v>172</v>
      </c>
      <c r="E359" s="4" t="s">
        <v>461</v>
      </c>
      <c r="F359" s="4" t="s">
        <v>822</v>
      </c>
    </row>
    <row r="360" customFormat="false" ht="15" hidden="false" customHeight="false" outlineLevel="0" collapsed="false">
      <c r="A360" s="4" t="s">
        <v>845</v>
      </c>
      <c r="B360" s="4" t="s">
        <v>805</v>
      </c>
      <c r="C360" s="4" t="s">
        <v>743</v>
      </c>
      <c r="D360" s="4" t="s">
        <v>175</v>
      </c>
      <c r="E360" s="4" t="s">
        <v>471</v>
      </c>
      <c r="F360" s="4" t="s">
        <v>809</v>
      </c>
    </row>
    <row r="361" customFormat="false" ht="15" hidden="false" customHeight="false" outlineLevel="0" collapsed="false">
      <c r="A361" s="4" t="s">
        <v>845</v>
      </c>
      <c r="B361" s="4" t="s">
        <v>805</v>
      </c>
      <c r="C361" s="4" t="s">
        <v>743</v>
      </c>
      <c r="D361" s="4" t="s">
        <v>184</v>
      </c>
      <c r="E361" s="4" t="s">
        <v>466</v>
      </c>
      <c r="F361" s="4" t="s">
        <v>809</v>
      </c>
    </row>
    <row r="362" customFormat="false" ht="15" hidden="false" customHeight="false" outlineLevel="0" collapsed="false">
      <c r="A362" s="4" t="s">
        <v>845</v>
      </c>
      <c r="B362" s="4" t="s">
        <v>805</v>
      </c>
      <c r="C362" s="4" t="s">
        <v>743</v>
      </c>
      <c r="D362" s="4" t="s">
        <v>185</v>
      </c>
      <c r="E362" s="4" t="s">
        <v>491</v>
      </c>
      <c r="F362" s="4" t="s">
        <v>806</v>
      </c>
    </row>
    <row r="363" customFormat="false" ht="15" hidden="false" customHeight="false" outlineLevel="0" collapsed="false">
      <c r="A363" s="4" t="s">
        <v>845</v>
      </c>
      <c r="B363" s="4" t="s">
        <v>805</v>
      </c>
      <c r="C363" s="4" t="s">
        <v>743</v>
      </c>
      <c r="D363" s="4" t="s">
        <v>186</v>
      </c>
      <c r="E363" s="4" t="s">
        <v>511</v>
      </c>
      <c r="F363" s="4" t="s">
        <v>810</v>
      </c>
    </row>
    <row r="364" customFormat="false" ht="15" hidden="false" customHeight="false" outlineLevel="0" collapsed="false">
      <c r="A364" s="4" t="s">
        <v>845</v>
      </c>
      <c r="B364" s="4" t="s">
        <v>805</v>
      </c>
      <c r="C364" s="4" t="s">
        <v>743</v>
      </c>
      <c r="D364" s="4" t="s">
        <v>188</v>
      </c>
      <c r="E364" s="4" t="s">
        <v>596</v>
      </c>
      <c r="F364" s="4" t="s">
        <v>811</v>
      </c>
    </row>
    <row r="365" customFormat="false" ht="15" hidden="false" customHeight="false" outlineLevel="0" collapsed="false">
      <c r="A365" s="4" t="s">
        <v>845</v>
      </c>
      <c r="B365" s="4" t="s">
        <v>805</v>
      </c>
      <c r="C365" s="4" t="s">
        <v>743</v>
      </c>
      <c r="D365" s="4" t="s">
        <v>197</v>
      </c>
      <c r="E365" s="4" t="s">
        <v>611</v>
      </c>
      <c r="F365" s="4" t="s">
        <v>812</v>
      </c>
    </row>
    <row r="366" customFormat="false" ht="15" hidden="false" customHeight="false" outlineLevel="0" collapsed="false">
      <c r="A366" s="4" t="s">
        <v>845</v>
      </c>
      <c r="B366" s="4" t="s">
        <v>805</v>
      </c>
      <c r="C366" s="4" t="s">
        <v>743</v>
      </c>
      <c r="D366" s="4" t="s">
        <v>199</v>
      </c>
      <c r="E366" s="4" t="s">
        <v>616</v>
      </c>
      <c r="F366" s="4" t="s">
        <v>813</v>
      </c>
    </row>
    <row r="367" customFormat="false" ht="15" hidden="false" customHeight="false" outlineLevel="0" collapsed="false">
      <c r="A367" s="4" t="s">
        <v>845</v>
      </c>
      <c r="B367" s="4" t="s">
        <v>805</v>
      </c>
      <c r="C367" s="4" t="s">
        <v>743</v>
      </c>
      <c r="D367" s="4" t="s">
        <v>203</v>
      </c>
      <c r="E367" s="4" t="s">
        <v>631</v>
      </c>
      <c r="F367" s="4" t="s">
        <v>814</v>
      </c>
    </row>
    <row r="368" customFormat="false" ht="15" hidden="false" customHeight="false" outlineLevel="0" collapsed="false">
      <c r="A368" s="4" t="s">
        <v>845</v>
      </c>
      <c r="B368" s="4" t="s">
        <v>805</v>
      </c>
      <c r="C368" s="4" t="s">
        <v>743</v>
      </c>
      <c r="D368" s="4" t="s">
        <v>205</v>
      </c>
      <c r="E368" s="4" t="s">
        <v>566</v>
      </c>
      <c r="F368" s="4" t="s">
        <v>815</v>
      </c>
    </row>
    <row r="369" customFormat="false" ht="15" hidden="false" customHeight="false" outlineLevel="0" collapsed="false">
      <c r="A369" s="4" t="s">
        <v>845</v>
      </c>
      <c r="B369" s="4" t="s">
        <v>805</v>
      </c>
      <c r="C369" s="4" t="s">
        <v>743</v>
      </c>
      <c r="D369" s="4" t="s">
        <v>214</v>
      </c>
      <c r="E369" s="4" t="s">
        <v>666</v>
      </c>
      <c r="F369" s="4" t="s">
        <v>816</v>
      </c>
    </row>
    <row r="370" customFormat="false" ht="15" hidden="false" customHeight="false" outlineLevel="0" collapsed="false">
      <c r="A370" s="4" t="s">
        <v>845</v>
      </c>
      <c r="B370" s="4" t="s">
        <v>805</v>
      </c>
      <c r="C370" s="4" t="s">
        <v>743</v>
      </c>
      <c r="D370" s="4" t="s">
        <v>215</v>
      </c>
      <c r="E370" s="4" t="s">
        <v>676</v>
      </c>
      <c r="F370" s="4" t="s">
        <v>824</v>
      </c>
    </row>
    <row r="371" customFormat="false" ht="15" hidden="false" customHeight="false" outlineLevel="0" collapsed="false">
      <c r="A371" s="4" t="s">
        <v>845</v>
      </c>
      <c r="B371" s="4" t="s">
        <v>805</v>
      </c>
      <c r="C371" s="4" t="s">
        <v>743</v>
      </c>
      <c r="D371" s="4" t="s">
        <v>218</v>
      </c>
      <c r="E371" s="4" t="s">
        <v>691</v>
      </c>
      <c r="F371" s="4" t="s">
        <v>817</v>
      </c>
    </row>
    <row r="372" customFormat="false" ht="15" hidden="false" customHeight="false" outlineLevel="0" collapsed="false">
      <c r="A372" s="4" t="s">
        <v>846</v>
      </c>
      <c r="B372" s="4" t="s">
        <v>826</v>
      </c>
      <c r="C372" s="4" t="s">
        <v>744</v>
      </c>
      <c r="D372" s="4" t="s">
        <v>161</v>
      </c>
      <c r="E372" s="4" t="s">
        <v>498</v>
      </c>
      <c r="F372" s="4" t="s">
        <v>806</v>
      </c>
    </row>
    <row r="373" customFormat="false" ht="15" hidden="false" customHeight="false" outlineLevel="0" collapsed="false">
      <c r="A373" s="4" t="s">
        <v>846</v>
      </c>
      <c r="B373" s="4" t="s">
        <v>826</v>
      </c>
      <c r="C373" s="4" t="s">
        <v>744</v>
      </c>
      <c r="D373" s="4" t="s">
        <v>167</v>
      </c>
      <c r="E373" s="4" t="s">
        <v>493</v>
      </c>
      <c r="F373" s="4" t="s">
        <v>806</v>
      </c>
    </row>
    <row r="374" customFormat="false" ht="15" hidden="false" customHeight="false" outlineLevel="0" collapsed="false">
      <c r="A374" s="4" t="s">
        <v>846</v>
      </c>
      <c r="B374" s="4" t="s">
        <v>826</v>
      </c>
      <c r="C374" s="4" t="s">
        <v>744</v>
      </c>
      <c r="D374" s="4" t="s">
        <v>168</v>
      </c>
      <c r="E374" s="4" t="s">
        <v>428</v>
      </c>
      <c r="F374" s="4" t="s">
        <v>807</v>
      </c>
    </row>
    <row r="375" customFormat="false" ht="15" hidden="false" customHeight="false" outlineLevel="0" collapsed="false">
      <c r="A375" s="4" t="s">
        <v>846</v>
      </c>
      <c r="B375" s="4" t="s">
        <v>826</v>
      </c>
      <c r="C375" s="4" t="s">
        <v>744</v>
      </c>
      <c r="D375" s="4" t="s">
        <v>172</v>
      </c>
      <c r="E375" s="4" t="s">
        <v>453</v>
      </c>
      <c r="F375" s="4" t="s">
        <v>822</v>
      </c>
    </row>
    <row r="376" customFormat="false" ht="15" hidden="false" customHeight="false" outlineLevel="0" collapsed="false">
      <c r="A376" s="4" t="s">
        <v>846</v>
      </c>
      <c r="B376" s="4" t="s">
        <v>826</v>
      </c>
      <c r="C376" s="4" t="s">
        <v>744</v>
      </c>
      <c r="D376" s="4" t="s">
        <v>175</v>
      </c>
      <c r="E376" s="4" t="s">
        <v>468</v>
      </c>
      <c r="F376" s="4" t="s">
        <v>809</v>
      </c>
    </row>
    <row r="377" customFormat="false" ht="15" hidden="false" customHeight="false" outlineLevel="0" collapsed="false">
      <c r="A377" s="4" t="s">
        <v>846</v>
      </c>
      <c r="B377" s="4" t="s">
        <v>826</v>
      </c>
      <c r="C377" s="4" t="s">
        <v>744</v>
      </c>
      <c r="D377" s="4" t="s">
        <v>184</v>
      </c>
      <c r="E377" s="4" t="s">
        <v>463</v>
      </c>
      <c r="F377" s="4" t="s">
        <v>809</v>
      </c>
    </row>
    <row r="378" customFormat="false" ht="15" hidden="false" customHeight="false" outlineLevel="0" collapsed="false">
      <c r="A378" s="4" t="s">
        <v>846</v>
      </c>
      <c r="B378" s="4" t="s">
        <v>826</v>
      </c>
      <c r="C378" s="4" t="s">
        <v>744</v>
      </c>
      <c r="D378" s="4" t="s">
        <v>185</v>
      </c>
      <c r="E378" s="4" t="s">
        <v>488</v>
      </c>
      <c r="F378" s="4" t="s">
        <v>806</v>
      </c>
    </row>
    <row r="379" customFormat="false" ht="15" hidden="false" customHeight="false" outlineLevel="0" collapsed="false">
      <c r="A379" s="4" t="s">
        <v>846</v>
      </c>
      <c r="B379" s="4" t="s">
        <v>826</v>
      </c>
      <c r="C379" s="4" t="s">
        <v>744</v>
      </c>
      <c r="D379" s="4" t="s">
        <v>186</v>
      </c>
      <c r="E379" s="4" t="s">
        <v>508</v>
      </c>
      <c r="F379" s="4" t="s">
        <v>810</v>
      </c>
    </row>
    <row r="380" customFormat="false" ht="15" hidden="false" customHeight="false" outlineLevel="0" collapsed="false">
      <c r="A380" s="4" t="s">
        <v>846</v>
      </c>
      <c r="B380" s="4" t="s">
        <v>826</v>
      </c>
      <c r="C380" s="4" t="s">
        <v>744</v>
      </c>
      <c r="D380" s="4" t="s">
        <v>188</v>
      </c>
      <c r="E380" s="4" t="s">
        <v>593</v>
      </c>
      <c r="F380" s="4" t="s">
        <v>811</v>
      </c>
    </row>
    <row r="381" customFormat="false" ht="15" hidden="false" customHeight="false" outlineLevel="0" collapsed="false">
      <c r="A381" s="4" t="s">
        <v>846</v>
      </c>
      <c r="B381" s="4" t="s">
        <v>826</v>
      </c>
      <c r="C381" s="4" t="s">
        <v>744</v>
      </c>
      <c r="D381" s="4" t="s">
        <v>197</v>
      </c>
      <c r="E381" s="4" t="s">
        <v>608</v>
      </c>
      <c r="F381" s="4" t="s">
        <v>812</v>
      </c>
    </row>
    <row r="382" customFormat="false" ht="15" hidden="false" customHeight="false" outlineLevel="0" collapsed="false">
      <c r="A382" s="4" t="s">
        <v>846</v>
      </c>
      <c r="B382" s="4" t="s">
        <v>826</v>
      </c>
      <c r="C382" s="4" t="s">
        <v>744</v>
      </c>
      <c r="D382" s="4" t="s">
        <v>199</v>
      </c>
      <c r="E382" s="4" t="s">
        <v>613</v>
      </c>
      <c r="F382" s="4" t="s">
        <v>813</v>
      </c>
    </row>
    <row r="383" customFormat="false" ht="15" hidden="false" customHeight="false" outlineLevel="0" collapsed="false">
      <c r="A383" s="4" t="s">
        <v>846</v>
      </c>
      <c r="B383" s="4" t="s">
        <v>826</v>
      </c>
      <c r="C383" s="4" t="s">
        <v>744</v>
      </c>
      <c r="D383" s="4" t="s">
        <v>203</v>
      </c>
      <c r="E383" s="4" t="s">
        <v>618</v>
      </c>
      <c r="F383" s="4" t="s">
        <v>814</v>
      </c>
    </row>
    <row r="384" customFormat="false" ht="15" hidden="false" customHeight="false" outlineLevel="0" collapsed="false">
      <c r="A384" s="4" t="s">
        <v>846</v>
      </c>
      <c r="B384" s="4" t="s">
        <v>826</v>
      </c>
      <c r="C384" s="4" t="s">
        <v>744</v>
      </c>
      <c r="D384" s="4" t="s">
        <v>205</v>
      </c>
      <c r="E384" s="4" t="s">
        <v>553</v>
      </c>
      <c r="F384" s="4" t="s">
        <v>815</v>
      </c>
    </row>
    <row r="385" customFormat="false" ht="15" hidden="false" customHeight="false" outlineLevel="0" collapsed="false">
      <c r="A385" s="4" t="s">
        <v>846</v>
      </c>
      <c r="B385" s="4" t="s">
        <v>826</v>
      </c>
      <c r="C385" s="4" t="s">
        <v>744</v>
      </c>
      <c r="D385" s="4" t="s">
        <v>214</v>
      </c>
      <c r="E385" s="4" t="s">
        <v>663</v>
      </c>
      <c r="F385" s="4" t="s">
        <v>816</v>
      </c>
    </row>
    <row r="386" customFormat="false" ht="15" hidden="false" customHeight="false" outlineLevel="0" collapsed="false">
      <c r="A386" s="4" t="s">
        <v>846</v>
      </c>
      <c r="B386" s="4" t="s">
        <v>826</v>
      </c>
      <c r="C386" s="4" t="s">
        <v>744</v>
      </c>
      <c r="D386" s="4" t="s">
        <v>215</v>
      </c>
      <c r="E386" s="4" t="s">
        <v>598</v>
      </c>
      <c r="F386" s="4" t="s">
        <v>812</v>
      </c>
    </row>
    <row r="387" customFormat="false" ht="15" hidden="false" customHeight="false" outlineLevel="0" collapsed="false">
      <c r="A387" s="4" t="s">
        <v>846</v>
      </c>
      <c r="B387" s="4" t="s">
        <v>826</v>
      </c>
      <c r="C387" s="4" t="s">
        <v>744</v>
      </c>
      <c r="D387" s="4" t="s">
        <v>218</v>
      </c>
      <c r="E387" s="4" t="s">
        <v>693</v>
      </c>
      <c r="F387" s="4" t="s">
        <v>817</v>
      </c>
    </row>
    <row r="388" customFormat="false" ht="15" hidden="false" customHeight="false" outlineLevel="0" collapsed="false">
      <c r="A388" s="4" t="s">
        <v>847</v>
      </c>
      <c r="B388" s="4" t="s">
        <v>819</v>
      </c>
      <c r="C388" s="4" t="s">
        <v>743</v>
      </c>
      <c r="D388" s="4" t="s">
        <v>161</v>
      </c>
      <c r="E388" s="4" t="s">
        <v>517</v>
      </c>
      <c r="F388" s="4" t="s">
        <v>808</v>
      </c>
    </row>
    <row r="389" customFormat="false" ht="15" hidden="false" customHeight="false" outlineLevel="0" collapsed="false">
      <c r="A389" s="4" t="s">
        <v>847</v>
      </c>
      <c r="B389" s="4" t="s">
        <v>819</v>
      </c>
      <c r="C389" s="4" t="s">
        <v>743</v>
      </c>
      <c r="D389" s="4" t="s">
        <v>167</v>
      </c>
      <c r="E389" s="4" t="s">
        <v>547</v>
      </c>
      <c r="F389" s="4" t="s">
        <v>808</v>
      </c>
    </row>
    <row r="390" customFormat="false" ht="15" hidden="false" customHeight="false" outlineLevel="0" collapsed="false">
      <c r="A390" s="4" t="s">
        <v>847</v>
      </c>
      <c r="B390" s="4" t="s">
        <v>819</v>
      </c>
      <c r="C390" s="4" t="s">
        <v>743</v>
      </c>
      <c r="D390" s="4" t="s">
        <v>168</v>
      </c>
      <c r="E390" s="4" t="s">
        <v>427</v>
      </c>
      <c r="F390" s="4" t="s">
        <v>807</v>
      </c>
    </row>
    <row r="391" customFormat="false" ht="15" hidden="false" customHeight="false" outlineLevel="0" collapsed="false">
      <c r="A391" s="4" t="s">
        <v>847</v>
      </c>
      <c r="B391" s="4" t="s">
        <v>819</v>
      </c>
      <c r="C391" s="4" t="s">
        <v>743</v>
      </c>
      <c r="D391" s="4" t="s">
        <v>172</v>
      </c>
      <c r="E391" s="4" t="s">
        <v>537</v>
      </c>
      <c r="F391" s="4" t="s">
        <v>808</v>
      </c>
    </row>
    <row r="392" customFormat="false" ht="15" hidden="false" customHeight="false" outlineLevel="0" collapsed="false">
      <c r="A392" s="4" t="s">
        <v>847</v>
      </c>
      <c r="B392" s="4" t="s">
        <v>819</v>
      </c>
      <c r="C392" s="4" t="s">
        <v>743</v>
      </c>
      <c r="D392" s="4" t="s">
        <v>175</v>
      </c>
      <c r="E392" s="4" t="s">
        <v>482</v>
      </c>
      <c r="F392" s="4" t="s">
        <v>809</v>
      </c>
    </row>
    <row r="393" customFormat="false" ht="15" hidden="false" customHeight="false" outlineLevel="0" collapsed="false">
      <c r="A393" s="4" t="s">
        <v>847</v>
      </c>
      <c r="B393" s="4" t="s">
        <v>819</v>
      </c>
      <c r="C393" s="4" t="s">
        <v>743</v>
      </c>
      <c r="D393" s="4" t="s">
        <v>184</v>
      </c>
      <c r="E393" s="4" t="s">
        <v>452</v>
      </c>
      <c r="F393" s="4" t="s">
        <v>822</v>
      </c>
    </row>
    <row r="394" customFormat="false" ht="15" hidden="false" customHeight="false" outlineLevel="0" collapsed="false">
      <c r="A394" s="4" t="s">
        <v>847</v>
      </c>
      <c r="B394" s="4" t="s">
        <v>819</v>
      </c>
      <c r="C394" s="4" t="s">
        <v>743</v>
      </c>
      <c r="D394" s="4" t="s">
        <v>185</v>
      </c>
      <c r="E394" s="4" t="s">
        <v>557</v>
      </c>
      <c r="F394" s="4" t="s">
        <v>815</v>
      </c>
    </row>
    <row r="395" customFormat="false" ht="15" hidden="false" customHeight="false" outlineLevel="0" collapsed="false">
      <c r="A395" s="4" t="s">
        <v>847</v>
      </c>
      <c r="B395" s="4" t="s">
        <v>819</v>
      </c>
      <c r="C395" s="4" t="s">
        <v>743</v>
      </c>
      <c r="D395" s="4" t="s">
        <v>186</v>
      </c>
      <c r="E395" s="4" t="s">
        <v>562</v>
      </c>
      <c r="F395" s="4" t="s">
        <v>815</v>
      </c>
    </row>
    <row r="396" customFormat="false" ht="15" hidden="false" customHeight="false" outlineLevel="0" collapsed="false">
      <c r="A396" s="4" t="s">
        <v>847</v>
      </c>
      <c r="B396" s="4" t="s">
        <v>819</v>
      </c>
      <c r="C396" s="4" t="s">
        <v>743</v>
      </c>
      <c r="D396" s="4" t="s">
        <v>188</v>
      </c>
      <c r="E396" s="4" t="s">
        <v>607</v>
      </c>
      <c r="F396" s="4" t="s">
        <v>812</v>
      </c>
    </row>
    <row r="397" customFormat="false" ht="15" hidden="false" customHeight="false" outlineLevel="0" collapsed="false">
      <c r="A397" s="4" t="s">
        <v>847</v>
      </c>
      <c r="B397" s="4" t="s">
        <v>819</v>
      </c>
      <c r="C397" s="4" t="s">
        <v>743</v>
      </c>
      <c r="D397" s="4" t="s">
        <v>197</v>
      </c>
      <c r="E397" s="4" t="s">
        <v>597</v>
      </c>
      <c r="F397" s="4" t="s">
        <v>812</v>
      </c>
    </row>
    <row r="398" customFormat="false" ht="15" hidden="false" customHeight="false" outlineLevel="0" collapsed="false">
      <c r="A398" s="4" t="s">
        <v>847</v>
      </c>
      <c r="B398" s="4" t="s">
        <v>819</v>
      </c>
      <c r="C398" s="4" t="s">
        <v>743</v>
      </c>
      <c r="D398" s="4" t="s">
        <v>199</v>
      </c>
      <c r="E398" s="4" t="s">
        <v>622</v>
      </c>
      <c r="F398" s="4" t="s">
        <v>814</v>
      </c>
    </row>
    <row r="399" customFormat="false" ht="15" hidden="false" customHeight="false" outlineLevel="0" collapsed="false">
      <c r="A399" s="4" t="s">
        <v>847</v>
      </c>
      <c r="B399" s="4" t="s">
        <v>819</v>
      </c>
      <c r="C399" s="4" t="s">
        <v>743</v>
      </c>
      <c r="D399" s="4" t="s">
        <v>203</v>
      </c>
      <c r="E399" s="4" t="s">
        <v>617</v>
      </c>
      <c r="F399" s="4" t="s">
        <v>814</v>
      </c>
    </row>
    <row r="400" customFormat="false" ht="15" hidden="false" customHeight="false" outlineLevel="0" collapsed="false">
      <c r="A400" s="4" t="s">
        <v>847</v>
      </c>
      <c r="B400" s="4" t="s">
        <v>819</v>
      </c>
      <c r="C400" s="4" t="s">
        <v>743</v>
      </c>
      <c r="D400" s="4" t="s">
        <v>205</v>
      </c>
      <c r="E400" s="4" t="s">
        <v>577</v>
      </c>
      <c r="F400" s="4" t="s">
        <v>815</v>
      </c>
    </row>
    <row r="401" customFormat="false" ht="15" hidden="false" customHeight="false" outlineLevel="0" collapsed="false">
      <c r="A401" s="4" t="s">
        <v>847</v>
      </c>
      <c r="B401" s="4" t="s">
        <v>819</v>
      </c>
      <c r="C401" s="4" t="s">
        <v>743</v>
      </c>
      <c r="D401" s="4" t="s">
        <v>214</v>
      </c>
      <c r="E401" s="4" t="s">
        <v>657</v>
      </c>
      <c r="F401" s="4" t="s">
        <v>816</v>
      </c>
    </row>
    <row r="402" customFormat="false" ht="15" hidden="false" customHeight="false" outlineLevel="0" collapsed="false">
      <c r="A402" s="4" t="s">
        <v>847</v>
      </c>
      <c r="B402" s="4" t="s">
        <v>819</v>
      </c>
      <c r="C402" s="4" t="s">
        <v>743</v>
      </c>
      <c r="D402" s="4" t="s">
        <v>215</v>
      </c>
      <c r="E402" s="4" t="s">
        <v>672</v>
      </c>
      <c r="F402" s="4" t="s">
        <v>824</v>
      </c>
    </row>
    <row r="403" customFormat="false" ht="15" hidden="false" customHeight="false" outlineLevel="0" collapsed="false">
      <c r="A403" s="4" t="s">
        <v>847</v>
      </c>
      <c r="B403" s="4" t="s">
        <v>819</v>
      </c>
      <c r="C403" s="4" t="s">
        <v>743</v>
      </c>
      <c r="D403" s="4" t="s">
        <v>218</v>
      </c>
      <c r="E403" s="4" t="s">
        <v>677</v>
      </c>
      <c r="F403" s="4" t="s">
        <v>817</v>
      </c>
    </row>
    <row r="404" customFormat="false" ht="15" hidden="false" customHeight="false" outlineLevel="0" collapsed="false">
      <c r="A404" s="4" t="s">
        <v>848</v>
      </c>
      <c r="B404" s="4" t="s">
        <v>821</v>
      </c>
      <c r="C404" s="4" t="s">
        <v>744</v>
      </c>
      <c r="D404" s="4" t="s">
        <v>161</v>
      </c>
      <c r="E404" s="4" t="s">
        <v>519</v>
      </c>
      <c r="F404" s="4" t="s">
        <v>808</v>
      </c>
    </row>
    <row r="405" customFormat="false" ht="15" hidden="false" customHeight="false" outlineLevel="0" collapsed="false">
      <c r="A405" s="4" t="s">
        <v>848</v>
      </c>
      <c r="B405" s="4" t="s">
        <v>821</v>
      </c>
      <c r="C405" s="4" t="s">
        <v>744</v>
      </c>
      <c r="D405" s="4" t="s">
        <v>167</v>
      </c>
      <c r="E405" s="4" t="s">
        <v>534</v>
      </c>
      <c r="F405" s="4" t="s">
        <v>808</v>
      </c>
    </row>
    <row r="406" customFormat="false" ht="15" hidden="false" customHeight="false" outlineLevel="0" collapsed="false">
      <c r="A406" s="4" t="s">
        <v>848</v>
      </c>
      <c r="B406" s="4" t="s">
        <v>821</v>
      </c>
      <c r="C406" s="4" t="s">
        <v>744</v>
      </c>
      <c r="D406" s="4" t="s">
        <v>168</v>
      </c>
      <c r="E406" s="4" t="s">
        <v>429</v>
      </c>
      <c r="F406" s="4" t="s">
        <v>807</v>
      </c>
    </row>
    <row r="407" customFormat="false" ht="15" hidden="false" customHeight="false" outlineLevel="0" collapsed="false">
      <c r="A407" s="4" t="s">
        <v>848</v>
      </c>
      <c r="B407" s="4" t="s">
        <v>821</v>
      </c>
      <c r="C407" s="4" t="s">
        <v>744</v>
      </c>
      <c r="D407" s="4" t="s">
        <v>172</v>
      </c>
      <c r="E407" s="4" t="s">
        <v>444</v>
      </c>
      <c r="F407" s="4" t="s">
        <v>807</v>
      </c>
    </row>
    <row r="408" customFormat="false" ht="15" hidden="false" customHeight="false" outlineLevel="0" collapsed="false">
      <c r="A408" s="4" t="s">
        <v>848</v>
      </c>
      <c r="B408" s="4" t="s">
        <v>821</v>
      </c>
      <c r="C408" s="4" t="s">
        <v>744</v>
      </c>
      <c r="D408" s="4" t="s">
        <v>175</v>
      </c>
      <c r="E408" s="4" t="s">
        <v>484</v>
      </c>
      <c r="F408" s="4" t="s">
        <v>809</v>
      </c>
    </row>
    <row r="409" customFormat="false" ht="15" hidden="false" customHeight="false" outlineLevel="0" collapsed="false">
      <c r="A409" s="4" t="s">
        <v>848</v>
      </c>
      <c r="B409" s="4" t="s">
        <v>821</v>
      </c>
      <c r="C409" s="4" t="s">
        <v>744</v>
      </c>
      <c r="D409" s="4" t="s">
        <v>184</v>
      </c>
      <c r="E409" s="4" t="s">
        <v>459</v>
      </c>
      <c r="F409" s="4" t="s">
        <v>822</v>
      </c>
    </row>
    <row r="410" customFormat="false" ht="15" hidden="false" customHeight="false" outlineLevel="0" collapsed="false">
      <c r="A410" s="4" t="s">
        <v>848</v>
      </c>
      <c r="B410" s="4" t="s">
        <v>821</v>
      </c>
      <c r="C410" s="4" t="s">
        <v>744</v>
      </c>
      <c r="D410" s="4" t="s">
        <v>185</v>
      </c>
      <c r="E410" s="4" t="s">
        <v>569</v>
      </c>
      <c r="F410" s="4" t="s">
        <v>815</v>
      </c>
    </row>
    <row r="411" customFormat="false" ht="15" hidden="false" customHeight="false" outlineLevel="0" collapsed="false">
      <c r="A411" s="4" t="s">
        <v>848</v>
      </c>
      <c r="B411" s="4" t="s">
        <v>821</v>
      </c>
      <c r="C411" s="4" t="s">
        <v>744</v>
      </c>
      <c r="D411" s="4" t="s">
        <v>186</v>
      </c>
      <c r="E411" s="4" t="s">
        <v>584</v>
      </c>
      <c r="F411" s="4" t="s">
        <v>815</v>
      </c>
    </row>
    <row r="412" customFormat="false" ht="15" hidden="false" customHeight="false" outlineLevel="0" collapsed="false">
      <c r="A412" s="4" t="s">
        <v>848</v>
      </c>
      <c r="B412" s="4" t="s">
        <v>821</v>
      </c>
      <c r="C412" s="4" t="s">
        <v>744</v>
      </c>
      <c r="D412" s="4" t="s">
        <v>188</v>
      </c>
      <c r="E412" s="4" t="s">
        <v>524</v>
      </c>
      <c r="F412" s="4" t="s">
        <v>808</v>
      </c>
    </row>
    <row r="413" customFormat="false" ht="15" hidden="false" customHeight="false" outlineLevel="0" collapsed="false">
      <c r="A413" s="4" t="s">
        <v>848</v>
      </c>
      <c r="B413" s="4" t="s">
        <v>821</v>
      </c>
      <c r="C413" s="4" t="s">
        <v>744</v>
      </c>
      <c r="D413" s="4" t="s">
        <v>197</v>
      </c>
      <c r="E413" s="4" t="s">
        <v>609</v>
      </c>
      <c r="F413" s="4" t="s">
        <v>812</v>
      </c>
    </row>
    <row r="414" customFormat="false" ht="15" hidden="false" customHeight="false" outlineLevel="0" collapsed="false">
      <c r="A414" s="4" t="s">
        <v>848</v>
      </c>
      <c r="B414" s="4" t="s">
        <v>821</v>
      </c>
      <c r="C414" s="4" t="s">
        <v>744</v>
      </c>
      <c r="D414" s="4" t="s">
        <v>199</v>
      </c>
      <c r="E414" s="4" t="s">
        <v>619</v>
      </c>
      <c r="F414" s="4" t="s">
        <v>814</v>
      </c>
    </row>
    <row r="415" customFormat="false" ht="15" hidden="false" customHeight="false" outlineLevel="0" collapsed="false">
      <c r="A415" s="4" t="s">
        <v>848</v>
      </c>
      <c r="B415" s="4" t="s">
        <v>821</v>
      </c>
      <c r="C415" s="4" t="s">
        <v>744</v>
      </c>
      <c r="D415" s="4" t="s">
        <v>203</v>
      </c>
      <c r="E415" s="4" t="s">
        <v>634</v>
      </c>
      <c r="F415" s="4" t="s">
        <v>814</v>
      </c>
    </row>
    <row r="416" customFormat="false" ht="15" hidden="false" customHeight="false" outlineLevel="0" collapsed="false">
      <c r="A416" s="4" t="s">
        <v>848</v>
      </c>
      <c r="B416" s="4" t="s">
        <v>821</v>
      </c>
      <c r="C416" s="4" t="s">
        <v>744</v>
      </c>
      <c r="D416" s="4" t="s">
        <v>205</v>
      </c>
      <c r="E416" s="4" t="s">
        <v>554</v>
      </c>
      <c r="F416" s="4" t="s">
        <v>815</v>
      </c>
    </row>
    <row r="417" customFormat="false" ht="15" hidden="false" customHeight="false" outlineLevel="0" collapsed="false">
      <c r="A417" s="4" t="s">
        <v>848</v>
      </c>
      <c r="B417" s="4" t="s">
        <v>821</v>
      </c>
      <c r="C417" s="4" t="s">
        <v>744</v>
      </c>
      <c r="D417" s="4" t="s">
        <v>214</v>
      </c>
      <c r="E417" s="4" t="s">
        <v>664</v>
      </c>
      <c r="F417" s="4" t="s">
        <v>816</v>
      </c>
    </row>
    <row r="418" customFormat="false" ht="15" hidden="false" customHeight="false" outlineLevel="0" collapsed="false">
      <c r="A418" s="4" t="s">
        <v>848</v>
      </c>
      <c r="B418" s="4" t="s">
        <v>821</v>
      </c>
      <c r="C418" s="4" t="s">
        <v>744</v>
      </c>
      <c r="D418" s="4" t="s">
        <v>215</v>
      </c>
      <c r="E418" s="4" t="s">
        <v>674</v>
      </c>
      <c r="F418" s="4" t="s">
        <v>824</v>
      </c>
    </row>
    <row r="419" customFormat="false" ht="15" hidden="false" customHeight="false" outlineLevel="0" collapsed="false">
      <c r="A419" s="4" t="s">
        <v>848</v>
      </c>
      <c r="B419" s="4" t="s">
        <v>821</v>
      </c>
      <c r="C419" s="4" t="s">
        <v>744</v>
      </c>
      <c r="D419" s="4" t="s">
        <v>218</v>
      </c>
      <c r="E419" s="4" t="s">
        <v>714</v>
      </c>
      <c r="F419" s="4" t="s">
        <v>817</v>
      </c>
    </row>
    <row r="420" customFormat="false" ht="15" hidden="false" customHeight="false" outlineLevel="0" collapsed="false">
      <c r="A420" s="4" t="s">
        <v>849</v>
      </c>
      <c r="B420" s="4" t="s">
        <v>828</v>
      </c>
      <c r="C420" s="4" t="s">
        <v>742</v>
      </c>
      <c r="D420" s="4" t="s">
        <v>161</v>
      </c>
      <c r="E420" s="4" t="s">
        <v>500</v>
      </c>
      <c r="F420" s="4" t="s">
        <v>806</v>
      </c>
    </row>
    <row r="421" customFormat="false" ht="15" hidden="false" customHeight="false" outlineLevel="0" collapsed="false">
      <c r="A421" s="4" t="s">
        <v>849</v>
      </c>
      <c r="B421" s="4" t="s">
        <v>828</v>
      </c>
      <c r="C421" s="4" t="s">
        <v>742</v>
      </c>
      <c r="D421" s="4" t="s">
        <v>167</v>
      </c>
      <c r="E421" s="4" t="s">
        <v>495</v>
      </c>
      <c r="F421" s="4" t="s">
        <v>806</v>
      </c>
    </row>
    <row r="422" customFormat="false" ht="15" hidden="false" customHeight="false" outlineLevel="0" collapsed="false">
      <c r="A422" s="4" t="s">
        <v>849</v>
      </c>
      <c r="B422" s="4" t="s">
        <v>828</v>
      </c>
      <c r="C422" s="4" t="s">
        <v>742</v>
      </c>
      <c r="D422" s="4" t="s">
        <v>168</v>
      </c>
      <c r="E422" s="4" t="s">
        <v>425</v>
      </c>
      <c r="F422" s="4" t="s">
        <v>807</v>
      </c>
    </row>
    <row r="423" customFormat="false" ht="15" hidden="false" customHeight="false" outlineLevel="0" collapsed="false">
      <c r="A423" s="4" t="s">
        <v>849</v>
      </c>
      <c r="B423" s="4" t="s">
        <v>828</v>
      </c>
      <c r="C423" s="4" t="s">
        <v>742</v>
      </c>
      <c r="D423" s="4" t="s">
        <v>172</v>
      </c>
      <c r="E423" s="4" t="s">
        <v>530</v>
      </c>
      <c r="F423" s="4" t="s">
        <v>808</v>
      </c>
    </row>
    <row r="424" customFormat="false" ht="15" hidden="false" customHeight="false" outlineLevel="0" collapsed="false">
      <c r="A424" s="4" t="s">
        <v>849</v>
      </c>
      <c r="B424" s="4" t="s">
        <v>828</v>
      </c>
      <c r="C424" s="4" t="s">
        <v>742</v>
      </c>
      <c r="D424" s="4" t="s">
        <v>175</v>
      </c>
      <c r="E424" s="4" t="s">
        <v>465</v>
      </c>
      <c r="F424" s="4" t="s">
        <v>809</v>
      </c>
    </row>
    <row r="425" customFormat="false" ht="15" hidden="false" customHeight="false" outlineLevel="0" collapsed="false">
      <c r="A425" s="4" t="s">
        <v>849</v>
      </c>
      <c r="B425" s="4" t="s">
        <v>828</v>
      </c>
      <c r="C425" s="4" t="s">
        <v>742</v>
      </c>
      <c r="D425" s="4" t="s">
        <v>184</v>
      </c>
      <c r="E425" s="4" t="s">
        <v>470</v>
      </c>
      <c r="F425" s="4" t="s">
        <v>809</v>
      </c>
    </row>
    <row r="426" customFormat="false" ht="15" hidden="false" customHeight="false" outlineLevel="0" collapsed="false">
      <c r="A426" s="4" t="s">
        <v>849</v>
      </c>
      <c r="B426" s="4" t="s">
        <v>828</v>
      </c>
      <c r="C426" s="4" t="s">
        <v>742</v>
      </c>
      <c r="D426" s="4" t="s">
        <v>185</v>
      </c>
      <c r="E426" s="4" t="s">
        <v>490</v>
      </c>
      <c r="F426" s="4" t="s">
        <v>806</v>
      </c>
    </row>
    <row r="427" customFormat="false" ht="15" hidden="false" customHeight="false" outlineLevel="0" collapsed="false">
      <c r="A427" s="4" t="s">
        <v>849</v>
      </c>
      <c r="B427" s="4" t="s">
        <v>828</v>
      </c>
      <c r="C427" s="4" t="s">
        <v>742</v>
      </c>
      <c r="D427" s="4" t="s">
        <v>186</v>
      </c>
      <c r="E427" s="4" t="s">
        <v>505</v>
      </c>
      <c r="F427" s="4" t="s">
        <v>810</v>
      </c>
    </row>
    <row r="428" customFormat="false" ht="15" hidden="false" customHeight="false" outlineLevel="0" collapsed="false">
      <c r="A428" s="4" t="s">
        <v>849</v>
      </c>
      <c r="B428" s="4" t="s">
        <v>828</v>
      </c>
      <c r="C428" s="4" t="s">
        <v>742</v>
      </c>
      <c r="D428" s="4" t="s">
        <v>188</v>
      </c>
      <c r="E428" s="4" t="s">
        <v>595</v>
      </c>
      <c r="F428" s="4" t="s">
        <v>811</v>
      </c>
    </row>
    <row r="429" customFormat="false" ht="15" hidden="false" customHeight="false" outlineLevel="0" collapsed="false">
      <c r="A429" s="4" t="s">
        <v>849</v>
      </c>
      <c r="B429" s="4" t="s">
        <v>828</v>
      </c>
      <c r="C429" s="4" t="s">
        <v>742</v>
      </c>
      <c r="D429" s="4" t="s">
        <v>197</v>
      </c>
      <c r="E429" s="4" t="s">
        <v>605</v>
      </c>
      <c r="F429" s="4" t="s">
        <v>812</v>
      </c>
    </row>
    <row r="430" customFormat="false" ht="15" hidden="false" customHeight="false" outlineLevel="0" collapsed="false">
      <c r="A430" s="4" t="s">
        <v>849</v>
      </c>
      <c r="B430" s="4" t="s">
        <v>828</v>
      </c>
      <c r="C430" s="4" t="s">
        <v>742</v>
      </c>
      <c r="D430" s="4" t="s">
        <v>199</v>
      </c>
      <c r="E430" s="4" t="s">
        <v>615</v>
      </c>
      <c r="F430" s="4" t="s">
        <v>813</v>
      </c>
    </row>
    <row r="431" customFormat="false" ht="15" hidden="false" customHeight="false" outlineLevel="0" collapsed="false">
      <c r="A431" s="4" t="s">
        <v>849</v>
      </c>
      <c r="B431" s="4" t="s">
        <v>828</v>
      </c>
      <c r="C431" s="4" t="s">
        <v>742</v>
      </c>
      <c r="D431" s="4" t="s">
        <v>203</v>
      </c>
      <c r="E431" s="4" t="s">
        <v>635</v>
      </c>
      <c r="F431" s="4" t="s">
        <v>814</v>
      </c>
    </row>
    <row r="432" customFormat="false" ht="15" hidden="false" customHeight="false" outlineLevel="0" collapsed="false">
      <c r="A432" s="4" t="s">
        <v>849</v>
      </c>
      <c r="B432" s="4" t="s">
        <v>828</v>
      </c>
      <c r="C432" s="4" t="s">
        <v>742</v>
      </c>
      <c r="D432" s="4" t="s">
        <v>205</v>
      </c>
      <c r="E432" s="4" t="s">
        <v>555</v>
      </c>
      <c r="F432" s="4" t="s">
        <v>815</v>
      </c>
    </row>
    <row r="433" customFormat="false" ht="15" hidden="false" customHeight="false" outlineLevel="0" collapsed="false">
      <c r="A433" s="4" t="s">
        <v>849</v>
      </c>
      <c r="B433" s="4" t="s">
        <v>828</v>
      </c>
      <c r="C433" s="4" t="s">
        <v>742</v>
      </c>
      <c r="D433" s="4" t="s">
        <v>214</v>
      </c>
      <c r="E433" s="4" t="s">
        <v>660</v>
      </c>
      <c r="F433" s="4" t="s">
        <v>816</v>
      </c>
    </row>
    <row r="434" customFormat="false" ht="15" hidden="false" customHeight="false" outlineLevel="0" collapsed="false">
      <c r="A434" s="4" t="s">
        <v>849</v>
      </c>
      <c r="B434" s="4" t="s">
        <v>828</v>
      </c>
      <c r="C434" s="4" t="s">
        <v>742</v>
      </c>
      <c r="D434" s="4" t="s">
        <v>215</v>
      </c>
      <c r="E434" s="4" t="s">
        <v>675</v>
      </c>
      <c r="F434" s="4" t="s">
        <v>824</v>
      </c>
    </row>
    <row r="435" customFormat="false" ht="15" hidden="false" customHeight="false" outlineLevel="0" collapsed="false">
      <c r="A435" s="4" t="s">
        <v>849</v>
      </c>
      <c r="B435" s="4" t="s">
        <v>828</v>
      </c>
      <c r="C435" s="4" t="s">
        <v>742</v>
      </c>
      <c r="D435" s="4" t="s">
        <v>218</v>
      </c>
      <c r="E435" s="4" t="s">
        <v>695</v>
      </c>
      <c r="F435" s="4" t="s">
        <v>817</v>
      </c>
    </row>
    <row r="436" customFormat="false" ht="15" hidden="false" customHeight="false" outlineLevel="0" collapsed="false">
      <c r="A436" s="4" t="s">
        <v>850</v>
      </c>
      <c r="B436" s="4" t="s">
        <v>828</v>
      </c>
      <c r="C436" s="4" t="s">
        <v>744</v>
      </c>
      <c r="D436" s="4" t="s">
        <v>161</v>
      </c>
      <c r="E436" s="4" t="s">
        <v>520</v>
      </c>
      <c r="F436" s="4" t="s">
        <v>808</v>
      </c>
    </row>
    <row r="437" customFormat="false" ht="15" hidden="false" customHeight="false" outlineLevel="0" collapsed="false">
      <c r="A437" s="4" t="s">
        <v>850</v>
      </c>
      <c r="B437" s="4" t="s">
        <v>828</v>
      </c>
      <c r="C437" s="4" t="s">
        <v>744</v>
      </c>
      <c r="D437" s="4" t="s">
        <v>167</v>
      </c>
      <c r="E437" s="4" t="s">
        <v>525</v>
      </c>
      <c r="F437" s="4" t="s">
        <v>808</v>
      </c>
    </row>
    <row r="438" customFormat="false" ht="15" hidden="false" customHeight="false" outlineLevel="0" collapsed="false">
      <c r="A438" s="4" t="s">
        <v>850</v>
      </c>
      <c r="B438" s="4" t="s">
        <v>828</v>
      </c>
      <c r="C438" s="4" t="s">
        <v>744</v>
      </c>
      <c r="D438" s="4" t="s">
        <v>168</v>
      </c>
      <c r="E438" s="4" t="s">
        <v>430</v>
      </c>
      <c r="F438" s="4" t="s">
        <v>807</v>
      </c>
    </row>
    <row r="439" customFormat="false" ht="15" hidden="false" customHeight="false" outlineLevel="0" collapsed="false">
      <c r="A439" s="4" t="s">
        <v>850</v>
      </c>
      <c r="B439" s="4" t="s">
        <v>828</v>
      </c>
      <c r="C439" s="4" t="s">
        <v>744</v>
      </c>
      <c r="D439" s="4" t="s">
        <v>172</v>
      </c>
      <c r="E439" s="4" t="s">
        <v>545</v>
      </c>
      <c r="F439" s="4" t="s">
        <v>808</v>
      </c>
    </row>
    <row r="440" customFormat="false" ht="15" hidden="false" customHeight="false" outlineLevel="0" collapsed="false">
      <c r="A440" s="4" t="s">
        <v>850</v>
      </c>
      <c r="B440" s="4" t="s">
        <v>828</v>
      </c>
      <c r="C440" s="4" t="s">
        <v>744</v>
      </c>
      <c r="D440" s="4" t="s">
        <v>175</v>
      </c>
      <c r="E440" s="4" t="s">
        <v>455</v>
      </c>
      <c r="F440" s="4" t="s">
        <v>822</v>
      </c>
    </row>
    <row r="441" customFormat="false" ht="15" hidden="false" customHeight="false" outlineLevel="0" collapsed="false">
      <c r="A441" s="4" t="s">
        <v>850</v>
      </c>
      <c r="B441" s="4" t="s">
        <v>828</v>
      </c>
      <c r="C441" s="4" t="s">
        <v>744</v>
      </c>
      <c r="D441" s="4" t="s">
        <v>184</v>
      </c>
      <c r="E441" s="4" t="s">
        <v>480</v>
      </c>
      <c r="F441" s="4" t="s">
        <v>809</v>
      </c>
    </row>
    <row r="442" customFormat="false" ht="15" hidden="false" customHeight="false" outlineLevel="0" collapsed="false">
      <c r="A442" s="4" t="s">
        <v>850</v>
      </c>
      <c r="B442" s="4" t="s">
        <v>828</v>
      </c>
      <c r="C442" s="4" t="s">
        <v>744</v>
      </c>
      <c r="D442" s="4" t="s">
        <v>185</v>
      </c>
      <c r="E442" s="4" t="s">
        <v>460</v>
      </c>
      <c r="F442" s="4" t="s">
        <v>822</v>
      </c>
    </row>
    <row r="443" customFormat="false" ht="15" hidden="false" customHeight="false" outlineLevel="0" collapsed="false">
      <c r="A443" s="4" t="s">
        <v>850</v>
      </c>
      <c r="B443" s="4" t="s">
        <v>828</v>
      </c>
      <c r="C443" s="4" t="s">
        <v>744</v>
      </c>
      <c r="D443" s="4" t="s">
        <v>186</v>
      </c>
      <c r="E443" s="4" t="s">
        <v>565</v>
      </c>
      <c r="F443" s="4" t="s">
        <v>815</v>
      </c>
    </row>
    <row r="444" customFormat="false" ht="15" hidden="false" customHeight="false" outlineLevel="0" collapsed="false">
      <c r="A444" s="4" t="s">
        <v>850</v>
      </c>
      <c r="B444" s="4" t="s">
        <v>828</v>
      </c>
      <c r="C444" s="4" t="s">
        <v>744</v>
      </c>
      <c r="D444" s="4" t="s">
        <v>188</v>
      </c>
      <c r="E444" s="4" t="s">
        <v>600</v>
      </c>
      <c r="F444" s="4" t="s">
        <v>812</v>
      </c>
    </row>
    <row r="445" customFormat="false" ht="15" hidden="false" customHeight="false" outlineLevel="0" collapsed="false">
      <c r="A445" s="4" t="s">
        <v>850</v>
      </c>
      <c r="B445" s="4" t="s">
        <v>828</v>
      </c>
      <c r="C445" s="4" t="s">
        <v>744</v>
      </c>
      <c r="D445" s="4" t="s">
        <v>197</v>
      </c>
      <c r="E445" s="4" t="s">
        <v>610</v>
      </c>
      <c r="F445" s="4" t="s">
        <v>812</v>
      </c>
    </row>
    <row r="446" customFormat="false" ht="15" hidden="false" customHeight="false" outlineLevel="0" collapsed="false">
      <c r="A446" s="4" t="s">
        <v>850</v>
      </c>
      <c r="B446" s="4" t="s">
        <v>828</v>
      </c>
      <c r="C446" s="4" t="s">
        <v>744</v>
      </c>
      <c r="D446" s="4" t="s">
        <v>199</v>
      </c>
      <c r="E446" s="4" t="s">
        <v>620</v>
      </c>
      <c r="F446" s="4" t="s">
        <v>814</v>
      </c>
    </row>
    <row r="447" customFormat="false" ht="15" hidden="false" customHeight="false" outlineLevel="0" collapsed="false">
      <c r="A447" s="4" t="s">
        <v>850</v>
      </c>
      <c r="B447" s="4" t="s">
        <v>828</v>
      </c>
      <c r="C447" s="4" t="s">
        <v>744</v>
      </c>
      <c r="D447" s="4" t="s">
        <v>203</v>
      </c>
      <c r="E447" s="4" t="s">
        <v>625</v>
      </c>
      <c r="F447" s="4" t="s">
        <v>814</v>
      </c>
    </row>
    <row r="448" customFormat="false" ht="15" hidden="false" customHeight="false" outlineLevel="0" collapsed="false">
      <c r="A448" s="4" t="s">
        <v>850</v>
      </c>
      <c r="B448" s="4" t="s">
        <v>828</v>
      </c>
      <c r="C448" s="4" t="s">
        <v>744</v>
      </c>
      <c r="D448" s="4" t="s">
        <v>205</v>
      </c>
      <c r="E448" s="4" t="s">
        <v>580</v>
      </c>
      <c r="F448" s="4" t="s">
        <v>815</v>
      </c>
    </row>
    <row r="449" customFormat="false" ht="15" hidden="false" customHeight="false" outlineLevel="0" collapsed="false">
      <c r="A449" s="4" t="s">
        <v>850</v>
      </c>
      <c r="B449" s="4" t="s">
        <v>828</v>
      </c>
      <c r="C449" s="4" t="s">
        <v>744</v>
      </c>
      <c r="D449" s="4" t="s">
        <v>214</v>
      </c>
      <c r="E449" s="4" t="s">
        <v>665</v>
      </c>
      <c r="F449" s="4" t="s">
        <v>816</v>
      </c>
    </row>
    <row r="450" customFormat="false" ht="15" hidden="false" customHeight="false" outlineLevel="0" collapsed="false">
      <c r="A450" s="4" t="s">
        <v>850</v>
      </c>
      <c r="B450" s="4" t="s">
        <v>828</v>
      </c>
      <c r="C450" s="4" t="s">
        <v>744</v>
      </c>
      <c r="D450" s="4" t="s">
        <v>215</v>
      </c>
      <c r="E450" s="4" t="s">
        <v>670</v>
      </c>
      <c r="F450" s="4" t="s">
        <v>824</v>
      </c>
    </row>
    <row r="451" customFormat="false" ht="15" hidden="false" customHeight="false" outlineLevel="0" collapsed="false">
      <c r="A451" s="4" t="s">
        <v>850</v>
      </c>
      <c r="B451" s="4" t="s">
        <v>828</v>
      </c>
      <c r="C451" s="4" t="s">
        <v>744</v>
      </c>
      <c r="D451" s="4" t="s">
        <v>218</v>
      </c>
      <c r="E451" s="4" t="s">
        <v>680</v>
      </c>
      <c r="F451" s="4" t="s">
        <v>817</v>
      </c>
    </row>
    <row r="452" customFormat="false" ht="15" hidden="false" customHeight="false" outlineLevel="0" collapsed="false">
      <c r="A452" s="4" t="s">
        <v>851</v>
      </c>
      <c r="B452" s="4" t="s">
        <v>805</v>
      </c>
      <c r="C452" s="4" t="s">
        <v>742</v>
      </c>
      <c r="D452" s="4" t="s">
        <v>161</v>
      </c>
      <c r="E452" s="4" t="s">
        <v>516</v>
      </c>
      <c r="F452" s="4" t="s">
        <v>808</v>
      </c>
    </row>
    <row r="453" customFormat="false" ht="15" hidden="false" customHeight="false" outlineLevel="0" collapsed="false">
      <c r="A453" s="4" t="s">
        <v>851</v>
      </c>
      <c r="B453" s="4" t="s">
        <v>805</v>
      </c>
      <c r="C453" s="4" t="s">
        <v>742</v>
      </c>
      <c r="D453" s="4" t="s">
        <v>167</v>
      </c>
      <c r="E453" s="4" t="s">
        <v>521</v>
      </c>
      <c r="F453" s="4" t="s">
        <v>808</v>
      </c>
    </row>
    <row r="454" customFormat="false" ht="15" hidden="false" customHeight="false" outlineLevel="0" collapsed="false">
      <c r="A454" s="4" t="s">
        <v>851</v>
      </c>
      <c r="B454" s="4" t="s">
        <v>805</v>
      </c>
      <c r="C454" s="4" t="s">
        <v>742</v>
      </c>
      <c r="D454" s="4" t="s">
        <v>168</v>
      </c>
      <c r="E454" s="4" t="s">
        <v>431</v>
      </c>
      <c r="F454" s="4" t="s">
        <v>807</v>
      </c>
    </row>
    <row r="455" customFormat="false" ht="15" hidden="false" customHeight="false" outlineLevel="0" collapsed="false">
      <c r="A455" s="4" t="s">
        <v>851</v>
      </c>
      <c r="B455" s="4" t="s">
        <v>805</v>
      </c>
      <c r="C455" s="4" t="s">
        <v>742</v>
      </c>
      <c r="D455" s="4" t="s">
        <v>172</v>
      </c>
      <c r="E455" s="4" t="s">
        <v>531</v>
      </c>
      <c r="F455" s="4" t="s">
        <v>808</v>
      </c>
    </row>
    <row r="456" customFormat="false" ht="15" hidden="false" customHeight="false" outlineLevel="0" collapsed="false">
      <c r="A456" s="4" t="s">
        <v>851</v>
      </c>
      <c r="B456" s="4" t="s">
        <v>805</v>
      </c>
      <c r="C456" s="4" t="s">
        <v>742</v>
      </c>
      <c r="D456" s="4" t="s">
        <v>175</v>
      </c>
      <c r="E456" s="4" t="s">
        <v>481</v>
      </c>
      <c r="F456" s="4" t="s">
        <v>809</v>
      </c>
    </row>
    <row r="457" customFormat="false" ht="15" hidden="false" customHeight="false" outlineLevel="0" collapsed="false">
      <c r="A457" s="4" t="s">
        <v>851</v>
      </c>
      <c r="B457" s="4" t="s">
        <v>805</v>
      </c>
      <c r="C457" s="4" t="s">
        <v>742</v>
      </c>
      <c r="D457" s="4" t="s">
        <v>184</v>
      </c>
      <c r="E457" s="4" t="s">
        <v>456</v>
      </c>
      <c r="F457" s="4" t="s">
        <v>822</v>
      </c>
    </row>
    <row r="458" customFormat="false" ht="15" hidden="false" customHeight="false" outlineLevel="0" collapsed="false">
      <c r="A458" s="4" t="s">
        <v>851</v>
      </c>
      <c r="B458" s="4" t="s">
        <v>805</v>
      </c>
      <c r="C458" s="4" t="s">
        <v>742</v>
      </c>
      <c r="D458" s="4" t="s">
        <v>185</v>
      </c>
      <c r="E458" s="4" t="s">
        <v>571</v>
      </c>
      <c r="F458" s="4" t="s">
        <v>815</v>
      </c>
    </row>
    <row r="459" customFormat="false" ht="15" hidden="false" customHeight="false" outlineLevel="0" collapsed="false">
      <c r="A459" s="4" t="s">
        <v>851</v>
      </c>
      <c r="B459" s="4" t="s">
        <v>805</v>
      </c>
      <c r="C459" s="4" t="s">
        <v>742</v>
      </c>
      <c r="D459" s="4" t="s">
        <v>186</v>
      </c>
      <c r="E459" s="4" t="s">
        <v>561</v>
      </c>
      <c r="F459" s="4" t="s">
        <v>815</v>
      </c>
    </row>
    <row r="460" customFormat="false" ht="15" hidden="false" customHeight="false" outlineLevel="0" collapsed="false">
      <c r="A460" s="4" t="s">
        <v>851</v>
      </c>
      <c r="B460" s="4" t="s">
        <v>805</v>
      </c>
      <c r="C460" s="4" t="s">
        <v>742</v>
      </c>
      <c r="D460" s="4" t="s">
        <v>188</v>
      </c>
      <c r="E460" s="4" t="s">
        <v>606</v>
      </c>
      <c r="F460" s="4" t="s">
        <v>812</v>
      </c>
    </row>
    <row r="461" customFormat="false" ht="15" hidden="false" customHeight="false" outlineLevel="0" collapsed="false">
      <c r="A461" s="4" t="s">
        <v>851</v>
      </c>
      <c r="B461" s="4" t="s">
        <v>805</v>
      </c>
      <c r="C461" s="4" t="s">
        <v>742</v>
      </c>
      <c r="D461" s="4" t="s">
        <v>197</v>
      </c>
      <c r="E461" s="4" t="s">
        <v>601</v>
      </c>
      <c r="F461" s="4" t="s">
        <v>812</v>
      </c>
    </row>
    <row r="462" customFormat="false" ht="15" hidden="false" customHeight="false" outlineLevel="0" collapsed="false">
      <c r="A462" s="4" t="s">
        <v>851</v>
      </c>
      <c r="B462" s="4" t="s">
        <v>805</v>
      </c>
      <c r="C462" s="4" t="s">
        <v>742</v>
      </c>
      <c r="D462" s="4" t="s">
        <v>199</v>
      </c>
      <c r="E462" s="4" t="s">
        <v>621</v>
      </c>
      <c r="F462" s="4" t="s">
        <v>814</v>
      </c>
    </row>
    <row r="463" customFormat="false" ht="15" hidden="false" customHeight="false" outlineLevel="0" collapsed="false">
      <c r="A463" s="4" t="s">
        <v>851</v>
      </c>
      <c r="B463" s="4" t="s">
        <v>805</v>
      </c>
      <c r="C463" s="4" t="s">
        <v>742</v>
      </c>
      <c r="D463" s="4" t="s">
        <v>203</v>
      </c>
      <c r="E463" s="4" t="s">
        <v>651</v>
      </c>
      <c r="F463" s="4" t="s">
        <v>814</v>
      </c>
    </row>
    <row r="464" customFormat="false" ht="15" hidden="false" customHeight="false" outlineLevel="0" collapsed="false">
      <c r="A464" s="4" t="s">
        <v>851</v>
      </c>
      <c r="B464" s="4" t="s">
        <v>805</v>
      </c>
      <c r="C464" s="4" t="s">
        <v>742</v>
      </c>
      <c r="D464" s="4" t="s">
        <v>205</v>
      </c>
      <c r="E464" s="4" t="s">
        <v>591</v>
      </c>
      <c r="F464" s="4" t="s">
        <v>815</v>
      </c>
    </row>
    <row r="465" customFormat="false" ht="15" hidden="false" customHeight="false" outlineLevel="0" collapsed="false">
      <c r="A465" s="4" t="s">
        <v>851</v>
      </c>
      <c r="B465" s="4" t="s">
        <v>805</v>
      </c>
      <c r="C465" s="4" t="s">
        <v>742</v>
      </c>
      <c r="D465" s="4" t="s">
        <v>214</v>
      </c>
      <c r="E465" s="4" t="s">
        <v>661</v>
      </c>
      <c r="F465" s="4" t="s">
        <v>816</v>
      </c>
    </row>
    <row r="466" customFormat="false" ht="15" hidden="false" customHeight="false" outlineLevel="0" collapsed="false">
      <c r="A466" s="4" t="s">
        <v>851</v>
      </c>
      <c r="B466" s="4" t="s">
        <v>805</v>
      </c>
      <c r="C466" s="4" t="s">
        <v>742</v>
      </c>
      <c r="D466" s="4" t="s">
        <v>215</v>
      </c>
      <c r="E466" s="4" t="s">
        <v>671</v>
      </c>
      <c r="F466" s="4" t="s">
        <v>824</v>
      </c>
    </row>
    <row r="467" customFormat="false" ht="15" hidden="false" customHeight="false" outlineLevel="0" collapsed="false">
      <c r="A467" s="4" t="s">
        <v>851</v>
      </c>
      <c r="B467" s="4" t="s">
        <v>805</v>
      </c>
      <c r="C467" s="4" t="s">
        <v>742</v>
      </c>
      <c r="D467" s="4" t="s">
        <v>218</v>
      </c>
      <c r="E467" s="4" t="s">
        <v>686</v>
      </c>
      <c r="F467" s="4" t="s">
        <v>817</v>
      </c>
    </row>
    <row r="468" customFormat="false" ht="15" hidden="false" customHeight="false" outlineLevel="0" collapsed="false">
      <c r="A468" s="4" t="s">
        <v>852</v>
      </c>
      <c r="B468" s="4" t="s">
        <v>826</v>
      </c>
      <c r="C468" s="4" t="s">
        <v>743</v>
      </c>
      <c r="D468" s="4" t="s">
        <v>161</v>
      </c>
      <c r="E468" s="4" t="s">
        <v>548</v>
      </c>
      <c r="F468" s="4" t="s">
        <v>808</v>
      </c>
    </row>
    <row r="469" customFormat="false" ht="15" hidden="false" customHeight="false" outlineLevel="0" collapsed="false">
      <c r="A469" s="4" t="s">
        <v>852</v>
      </c>
      <c r="B469" s="4" t="s">
        <v>826</v>
      </c>
      <c r="C469" s="4" t="s">
        <v>743</v>
      </c>
      <c r="D469" s="4" t="s">
        <v>167</v>
      </c>
      <c r="E469" s="4" t="s">
        <v>533</v>
      </c>
      <c r="F469" s="4" t="s">
        <v>808</v>
      </c>
    </row>
    <row r="470" customFormat="false" ht="15" hidden="false" customHeight="false" outlineLevel="0" collapsed="false">
      <c r="A470" s="4" t="s">
        <v>852</v>
      </c>
      <c r="B470" s="4" t="s">
        <v>826</v>
      </c>
      <c r="C470" s="4" t="s">
        <v>743</v>
      </c>
      <c r="D470" s="4" t="s">
        <v>168</v>
      </c>
      <c r="E470" s="4" t="s">
        <v>423</v>
      </c>
      <c r="F470" s="4" t="s">
        <v>807</v>
      </c>
    </row>
    <row r="471" customFormat="false" ht="15" hidden="false" customHeight="false" outlineLevel="0" collapsed="false">
      <c r="A471" s="4" t="s">
        <v>852</v>
      </c>
      <c r="B471" s="4" t="s">
        <v>826</v>
      </c>
      <c r="C471" s="4" t="s">
        <v>743</v>
      </c>
      <c r="D471" s="4" t="s">
        <v>172</v>
      </c>
      <c r="E471" s="4" t="s">
        <v>438</v>
      </c>
      <c r="F471" s="4" t="s">
        <v>807</v>
      </c>
    </row>
    <row r="472" customFormat="false" ht="15" hidden="false" customHeight="false" outlineLevel="0" collapsed="false">
      <c r="A472" s="4" t="s">
        <v>852</v>
      </c>
      <c r="B472" s="4" t="s">
        <v>826</v>
      </c>
      <c r="C472" s="4" t="s">
        <v>743</v>
      </c>
      <c r="D472" s="4" t="s">
        <v>175</v>
      </c>
      <c r="E472" s="4" t="s">
        <v>458</v>
      </c>
      <c r="F472" s="4" t="s">
        <v>822</v>
      </c>
    </row>
    <row r="473" customFormat="false" ht="15" hidden="false" customHeight="false" outlineLevel="0" collapsed="false">
      <c r="A473" s="4" t="s">
        <v>852</v>
      </c>
      <c r="B473" s="4" t="s">
        <v>826</v>
      </c>
      <c r="C473" s="4" t="s">
        <v>743</v>
      </c>
      <c r="D473" s="4" t="s">
        <v>184</v>
      </c>
      <c r="E473" s="4" t="s">
        <v>443</v>
      </c>
      <c r="F473" s="4" t="s">
        <v>807</v>
      </c>
    </row>
    <row r="474" customFormat="false" ht="15" hidden="false" customHeight="false" outlineLevel="0" collapsed="false">
      <c r="A474" s="4" t="s">
        <v>852</v>
      </c>
      <c r="B474" s="4" t="s">
        <v>826</v>
      </c>
      <c r="C474" s="4" t="s">
        <v>743</v>
      </c>
      <c r="D474" s="4" t="s">
        <v>185</v>
      </c>
      <c r="E474" s="4" t="s">
        <v>563</v>
      </c>
      <c r="F474" s="4" t="s">
        <v>815</v>
      </c>
    </row>
    <row r="475" customFormat="false" ht="15" hidden="false" customHeight="false" outlineLevel="0" collapsed="false">
      <c r="A475" s="4" t="s">
        <v>852</v>
      </c>
      <c r="B475" s="4" t="s">
        <v>826</v>
      </c>
      <c r="C475" s="4" t="s">
        <v>743</v>
      </c>
      <c r="D475" s="4" t="s">
        <v>186</v>
      </c>
      <c r="E475" s="4" t="s">
        <v>503</v>
      </c>
      <c r="F475" s="4" t="s">
        <v>810</v>
      </c>
    </row>
    <row r="476" customFormat="false" ht="15" hidden="false" customHeight="false" outlineLevel="0" collapsed="false">
      <c r="A476" s="4" t="s">
        <v>852</v>
      </c>
      <c r="B476" s="4" t="s">
        <v>826</v>
      </c>
      <c r="C476" s="4" t="s">
        <v>743</v>
      </c>
      <c r="D476" s="4" t="s">
        <v>188</v>
      </c>
      <c r="E476" s="4" t="s">
        <v>518</v>
      </c>
      <c r="F476" s="4" t="s">
        <v>808</v>
      </c>
    </row>
    <row r="477" customFormat="false" ht="15" hidden="false" customHeight="false" outlineLevel="0" collapsed="false">
      <c r="A477" s="4" t="s">
        <v>852</v>
      </c>
      <c r="B477" s="4" t="s">
        <v>826</v>
      </c>
      <c r="C477" s="4" t="s">
        <v>743</v>
      </c>
      <c r="D477" s="4" t="s">
        <v>197</v>
      </c>
      <c r="E477" s="4" t="s">
        <v>603</v>
      </c>
      <c r="F477" s="4" t="s">
        <v>812</v>
      </c>
    </row>
    <row r="478" customFormat="false" ht="15" hidden="false" customHeight="false" outlineLevel="0" collapsed="false">
      <c r="A478" s="4" t="s">
        <v>852</v>
      </c>
      <c r="B478" s="4" t="s">
        <v>826</v>
      </c>
      <c r="C478" s="4" t="s">
        <v>743</v>
      </c>
      <c r="D478" s="4" t="s">
        <v>199</v>
      </c>
      <c r="E478" s="4" t="s">
        <v>653</v>
      </c>
      <c r="F478" s="4" t="s">
        <v>814</v>
      </c>
    </row>
    <row r="479" customFormat="false" ht="15" hidden="false" customHeight="false" outlineLevel="0" collapsed="false">
      <c r="A479" s="4" t="s">
        <v>852</v>
      </c>
      <c r="B479" s="4" t="s">
        <v>826</v>
      </c>
      <c r="C479" s="4" t="s">
        <v>743</v>
      </c>
      <c r="D479" s="4" t="s">
        <v>203</v>
      </c>
      <c r="E479" s="4" t="s">
        <v>633</v>
      </c>
      <c r="F479" s="4" t="s">
        <v>814</v>
      </c>
    </row>
    <row r="480" customFormat="false" ht="15" hidden="false" customHeight="false" outlineLevel="0" collapsed="false">
      <c r="A480" s="4" t="s">
        <v>852</v>
      </c>
      <c r="B480" s="4" t="s">
        <v>826</v>
      </c>
      <c r="C480" s="4" t="s">
        <v>743</v>
      </c>
      <c r="D480" s="4" t="s">
        <v>205</v>
      </c>
      <c r="E480" s="4" t="s">
        <v>578</v>
      </c>
      <c r="F480" s="4" t="s">
        <v>815</v>
      </c>
    </row>
    <row r="481" customFormat="false" ht="15" hidden="false" customHeight="false" outlineLevel="0" collapsed="false">
      <c r="A481" s="4" t="s">
        <v>852</v>
      </c>
      <c r="B481" s="4" t="s">
        <v>826</v>
      </c>
      <c r="C481" s="4" t="s">
        <v>743</v>
      </c>
      <c r="D481" s="4" t="s">
        <v>214</v>
      </c>
      <c r="E481" s="4" t="s">
        <v>658</v>
      </c>
      <c r="F481" s="4" t="s">
        <v>816</v>
      </c>
    </row>
    <row r="482" customFormat="false" ht="15" hidden="false" customHeight="false" outlineLevel="0" collapsed="false">
      <c r="A482" s="4" t="s">
        <v>852</v>
      </c>
      <c r="B482" s="4" t="s">
        <v>826</v>
      </c>
      <c r="C482" s="4" t="s">
        <v>743</v>
      </c>
      <c r="D482" s="4" t="s">
        <v>215</v>
      </c>
      <c r="E482" s="4" t="s">
        <v>673</v>
      </c>
      <c r="F482" s="4" t="s">
        <v>824</v>
      </c>
    </row>
    <row r="483" customFormat="false" ht="15" hidden="false" customHeight="false" outlineLevel="0" collapsed="false">
      <c r="A483" s="4" t="s">
        <v>852</v>
      </c>
      <c r="B483" s="4" t="s">
        <v>826</v>
      </c>
      <c r="C483" s="4" t="s">
        <v>743</v>
      </c>
      <c r="D483" s="4" t="s">
        <v>218</v>
      </c>
      <c r="E483" s="4" t="s">
        <v>678</v>
      </c>
      <c r="F483" s="4" t="s">
        <v>817</v>
      </c>
    </row>
    <row r="484" customFormat="false" ht="15" hidden="false" customHeight="false" outlineLevel="0" collapsed="false">
      <c r="A484" s="4" t="s">
        <v>853</v>
      </c>
      <c r="B484" s="4" t="s">
        <v>819</v>
      </c>
      <c r="C484" s="4" t="s">
        <v>742</v>
      </c>
      <c r="D484" s="4" t="s">
        <v>161</v>
      </c>
      <c r="E484" s="4" t="s">
        <v>522</v>
      </c>
      <c r="F484" s="4" t="s">
        <v>808</v>
      </c>
    </row>
    <row r="485" customFormat="false" ht="15" hidden="false" customHeight="false" outlineLevel="0" collapsed="false">
      <c r="A485" s="4" t="s">
        <v>853</v>
      </c>
      <c r="B485" s="4" t="s">
        <v>819</v>
      </c>
      <c r="C485" s="4" t="s">
        <v>742</v>
      </c>
      <c r="D485" s="4" t="s">
        <v>167</v>
      </c>
      <c r="E485" s="4" t="s">
        <v>532</v>
      </c>
      <c r="F485" s="4" t="s">
        <v>808</v>
      </c>
    </row>
    <row r="486" customFormat="false" ht="15" hidden="false" customHeight="false" outlineLevel="0" collapsed="false">
      <c r="A486" s="4" t="s">
        <v>853</v>
      </c>
      <c r="B486" s="4" t="s">
        <v>819</v>
      </c>
      <c r="C486" s="4" t="s">
        <v>742</v>
      </c>
      <c r="D486" s="4" t="s">
        <v>168</v>
      </c>
      <c r="E486" s="4" t="s">
        <v>437</v>
      </c>
      <c r="F486" s="4" t="s">
        <v>807</v>
      </c>
    </row>
    <row r="487" customFormat="false" ht="15" hidden="false" customHeight="false" outlineLevel="0" collapsed="false">
      <c r="A487" s="4" t="s">
        <v>853</v>
      </c>
      <c r="B487" s="4" t="s">
        <v>819</v>
      </c>
      <c r="C487" s="4" t="s">
        <v>742</v>
      </c>
      <c r="D487" s="4" t="s">
        <v>172</v>
      </c>
      <c r="E487" s="4" t="s">
        <v>512</v>
      </c>
      <c r="F487" s="4" t="s">
        <v>808</v>
      </c>
    </row>
    <row r="488" customFormat="false" ht="15" hidden="false" customHeight="false" outlineLevel="0" collapsed="false">
      <c r="A488" s="4" t="s">
        <v>853</v>
      </c>
      <c r="B488" s="4" t="s">
        <v>819</v>
      </c>
      <c r="C488" s="4" t="s">
        <v>742</v>
      </c>
      <c r="D488" s="4" t="s">
        <v>175</v>
      </c>
      <c r="E488" s="4" t="s">
        <v>447</v>
      </c>
      <c r="F488" s="4" t="s">
        <v>807</v>
      </c>
    </row>
    <row r="489" customFormat="false" ht="15" hidden="false" customHeight="false" outlineLevel="0" collapsed="false">
      <c r="A489" s="4" t="s">
        <v>853</v>
      </c>
      <c r="B489" s="4" t="s">
        <v>819</v>
      </c>
      <c r="C489" s="4" t="s">
        <v>742</v>
      </c>
      <c r="D489" s="4" t="s">
        <v>184</v>
      </c>
      <c r="E489" s="4" t="s">
        <v>482</v>
      </c>
      <c r="F489" s="4" t="s">
        <v>809</v>
      </c>
    </row>
    <row r="490" customFormat="false" ht="15" hidden="false" customHeight="false" outlineLevel="0" collapsed="false">
      <c r="A490" s="4" t="s">
        <v>853</v>
      </c>
      <c r="B490" s="4" t="s">
        <v>819</v>
      </c>
      <c r="C490" s="4" t="s">
        <v>742</v>
      </c>
      <c r="D490" s="4" t="s">
        <v>185</v>
      </c>
      <c r="E490" s="4" t="s">
        <v>567</v>
      </c>
      <c r="F490" s="4" t="s">
        <v>815</v>
      </c>
    </row>
    <row r="491" customFormat="false" ht="15" hidden="false" customHeight="false" outlineLevel="0" collapsed="false">
      <c r="A491" s="4" t="s">
        <v>853</v>
      </c>
      <c r="B491" s="4" t="s">
        <v>819</v>
      </c>
      <c r="C491" s="4" t="s">
        <v>742</v>
      </c>
      <c r="D491" s="4" t="s">
        <v>186</v>
      </c>
      <c r="E491" s="4" t="s">
        <v>587</v>
      </c>
      <c r="F491" s="4" t="s">
        <v>815</v>
      </c>
    </row>
    <row r="492" customFormat="false" ht="15" hidden="false" customHeight="false" outlineLevel="0" collapsed="false">
      <c r="A492" s="4" t="s">
        <v>853</v>
      </c>
      <c r="B492" s="4" t="s">
        <v>819</v>
      </c>
      <c r="C492" s="4" t="s">
        <v>742</v>
      </c>
      <c r="D492" s="4" t="s">
        <v>188</v>
      </c>
      <c r="E492" s="4" t="s">
        <v>527</v>
      </c>
      <c r="F492" s="4" t="s">
        <v>808</v>
      </c>
    </row>
    <row r="493" customFormat="false" ht="15" hidden="false" customHeight="false" outlineLevel="0" collapsed="false">
      <c r="A493" s="4" t="s">
        <v>853</v>
      </c>
      <c r="B493" s="4" t="s">
        <v>819</v>
      </c>
      <c r="C493" s="4" t="s">
        <v>742</v>
      </c>
      <c r="D493" s="4" t="s">
        <v>197</v>
      </c>
      <c r="E493" s="4" t="s">
        <v>647</v>
      </c>
      <c r="F493" s="4" t="s">
        <v>814</v>
      </c>
    </row>
    <row r="494" customFormat="false" ht="15" hidden="false" customHeight="false" outlineLevel="0" collapsed="false">
      <c r="A494" s="4" t="s">
        <v>853</v>
      </c>
      <c r="B494" s="4" t="s">
        <v>819</v>
      </c>
      <c r="C494" s="4" t="s">
        <v>742</v>
      </c>
      <c r="D494" s="4" t="s">
        <v>199</v>
      </c>
      <c r="E494" s="4" t="s">
        <v>632</v>
      </c>
      <c r="F494" s="4" t="s">
        <v>814</v>
      </c>
    </row>
    <row r="495" customFormat="false" ht="15" hidden="false" customHeight="false" outlineLevel="0" collapsed="false">
      <c r="A495" s="4" t="s">
        <v>853</v>
      </c>
      <c r="B495" s="4" t="s">
        <v>819</v>
      </c>
      <c r="C495" s="4" t="s">
        <v>742</v>
      </c>
      <c r="D495" s="4" t="s">
        <v>203</v>
      </c>
      <c r="E495" s="4" t="s">
        <v>642</v>
      </c>
      <c r="F495" s="4" t="s">
        <v>814</v>
      </c>
    </row>
    <row r="496" customFormat="false" ht="15" hidden="false" customHeight="false" outlineLevel="0" collapsed="false">
      <c r="A496" s="4" t="s">
        <v>853</v>
      </c>
      <c r="B496" s="4" t="s">
        <v>819</v>
      </c>
      <c r="C496" s="4" t="s">
        <v>742</v>
      </c>
      <c r="D496" s="4" t="s">
        <v>205</v>
      </c>
      <c r="E496" s="4" t="s">
        <v>572</v>
      </c>
      <c r="F496" s="4" t="s">
        <v>815</v>
      </c>
    </row>
    <row r="497" customFormat="false" ht="15" hidden="false" customHeight="false" outlineLevel="0" collapsed="false">
      <c r="A497" s="4" t="s">
        <v>853</v>
      </c>
      <c r="B497" s="4" t="s">
        <v>819</v>
      </c>
      <c r="C497" s="4" t="s">
        <v>742</v>
      </c>
      <c r="D497" s="4" t="s">
        <v>214</v>
      </c>
      <c r="E497" s="4" t="s">
        <v>582</v>
      </c>
      <c r="F497" s="4" t="s">
        <v>815</v>
      </c>
    </row>
    <row r="498" customFormat="false" ht="15" hidden="false" customHeight="false" outlineLevel="0" collapsed="false">
      <c r="A498" s="4" t="s">
        <v>853</v>
      </c>
      <c r="B498" s="4" t="s">
        <v>819</v>
      </c>
      <c r="C498" s="4" t="s">
        <v>742</v>
      </c>
      <c r="D498" s="4" t="s">
        <v>215</v>
      </c>
      <c r="E498" s="4" t="s">
        <v>672</v>
      </c>
      <c r="F498" s="4" t="s">
        <v>824</v>
      </c>
    </row>
    <row r="499" customFormat="false" ht="15" hidden="false" customHeight="false" outlineLevel="0" collapsed="false">
      <c r="A499" s="4" t="s">
        <v>853</v>
      </c>
      <c r="B499" s="4" t="s">
        <v>819</v>
      </c>
      <c r="C499" s="4" t="s">
        <v>742</v>
      </c>
      <c r="D499" s="4" t="s">
        <v>218</v>
      </c>
      <c r="E499" s="4" t="s">
        <v>687</v>
      </c>
      <c r="F499" s="4" t="s">
        <v>817</v>
      </c>
    </row>
    <row r="500" customFormat="false" ht="15" hidden="false" customHeight="false" outlineLevel="0" collapsed="false">
      <c r="A500" s="4" t="s">
        <v>854</v>
      </c>
      <c r="B500" s="4" t="s">
        <v>821</v>
      </c>
      <c r="C500" s="4" t="s">
        <v>743</v>
      </c>
      <c r="D500" s="4" t="s">
        <v>161</v>
      </c>
      <c r="E500" s="4" t="s">
        <v>544</v>
      </c>
      <c r="F500" s="4" t="s">
        <v>808</v>
      </c>
    </row>
    <row r="501" customFormat="false" ht="15" hidden="false" customHeight="false" outlineLevel="0" collapsed="false">
      <c r="A501" s="4" t="s">
        <v>854</v>
      </c>
      <c r="B501" s="4" t="s">
        <v>821</v>
      </c>
      <c r="C501" s="4" t="s">
        <v>743</v>
      </c>
      <c r="D501" s="4" t="s">
        <v>167</v>
      </c>
      <c r="E501" s="4" t="s">
        <v>529</v>
      </c>
      <c r="F501" s="4" t="s">
        <v>808</v>
      </c>
    </row>
    <row r="502" customFormat="false" ht="15" hidden="false" customHeight="false" outlineLevel="0" collapsed="false">
      <c r="A502" s="4" t="s">
        <v>854</v>
      </c>
      <c r="B502" s="4" t="s">
        <v>821</v>
      </c>
      <c r="C502" s="4" t="s">
        <v>743</v>
      </c>
      <c r="D502" s="4" t="s">
        <v>168</v>
      </c>
      <c r="E502" s="4" t="s">
        <v>434</v>
      </c>
      <c r="F502" s="4" t="s">
        <v>807</v>
      </c>
    </row>
    <row r="503" customFormat="false" ht="15" hidden="false" customHeight="false" outlineLevel="0" collapsed="false">
      <c r="A503" s="4" t="s">
        <v>854</v>
      </c>
      <c r="B503" s="4" t="s">
        <v>821</v>
      </c>
      <c r="C503" s="4" t="s">
        <v>743</v>
      </c>
      <c r="D503" s="4" t="s">
        <v>172</v>
      </c>
      <c r="E503" s="4" t="s">
        <v>539</v>
      </c>
      <c r="F503" s="4" t="s">
        <v>808</v>
      </c>
    </row>
    <row r="504" customFormat="false" ht="15" hidden="false" customHeight="false" outlineLevel="0" collapsed="false">
      <c r="A504" s="4" t="s">
        <v>854</v>
      </c>
      <c r="B504" s="4" t="s">
        <v>821</v>
      </c>
      <c r="C504" s="4" t="s">
        <v>743</v>
      </c>
      <c r="D504" s="4" t="s">
        <v>175</v>
      </c>
      <c r="E504" s="4" t="s">
        <v>449</v>
      </c>
      <c r="F504" s="4" t="s">
        <v>807</v>
      </c>
    </row>
    <row r="505" customFormat="false" ht="15" hidden="false" customHeight="false" outlineLevel="0" collapsed="false">
      <c r="A505" s="4" t="s">
        <v>854</v>
      </c>
      <c r="B505" s="4" t="s">
        <v>821</v>
      </c>
      <c r="C505" s="4" t="s">
        <v>743</v>
      </c>
      <c r="D505" s="4" t="s">
        <v>184</v>
      </c>
      <c r="E505" s="4" t="s">
        <v>439</v>
      </c>
      <c r="F505" s="4" t="s">
        <v>807</v>
      </c>
    </row>
    <row r="506" customFormat="false" ht="15" hidden="false" customHeight="false" outlineLevel="0" collapsed="false">
      <c r="A506" s="4" t="s">
        <v>854</v>
      </c>
      <c r="B506" s="4" t="s">
        <v>821</v>
      </c>
      <c r="C506" s="4" t="s">
        <v>743</v>
      </c>
      <c r="D506" s="4" t="s">
        <v>185</v>
      </c>
      <c r="E506" s="4" t="s">
        <v>559</v>
      </c>
      <c r="F506" s="4" t="s">
        <v>815</v>
      </c>
    </row>
    <row r="507" customFormat="false" ht="15" hidden="false" customHeight="false" outlineLevel="0" collapsed="false">
      <c r="A507" s="4" t="s">
        <v>854</v>
      </c>
      <c r="B507" s="4" t="s">
        <v>821</v>
      </c>
      <c r="C507" s="4" t="s">
        <v>743</v>
      </c>
      <c r="D507" s="4" t="s">
        <v>186</v>
      </c>
      <c r="E507" s="4" t="s">
        <v>589</v>
      </c>
      <c r="F507" s="4" t="s">
        <v>815</v>
      </c>
    </row>
    <row r="508" customFormat="false" ht="15" hidden="false" customHeight="false" outlineLevel="0" collapsed="false">
      <c r="A508" s="4" t="s">
        <v>854</v>
      </c>
      <c r="B508" s="4" t="s">
        <v>821</v>
      </c>
      <c r="C508" s="4" t="s">
        <v>743</v>
      </c>
      <c r="D508" s="4" t="s">
        <v>188</v>
      </c>
      <c r="E508" s="4" t="s">
        <v>549</v>
      </c>
      <c r="F508" s="4" t="s">
        <v>808</v>
      </c>
    </row>
    <row r="509" customFormat="false" ht="15" hidden="false" customHeight="false" outlineLevel="0" collapsed="false">
      <c r="A509" s="4" t="s">
        <v>854</v>
      </c>
      <c r="B509" s="4" t="s">
        <v>821</v>
      </c>
      <c r="C509" s="4" t="s">
        <v>743</v>
      </c>
      <c r="D509" s="4" t="s">
        <v>197</v>
      </c>
      <c r="E509" s="4" t="s">
        <v>629</v>
      </c>
      <c r="F509" s="4" t="s">
        <v>814</v>
      </c>
    </row>
    <row r="510" customFormat="false" ht="15" hidden="false" customHeight="false" outlineLevel="0" collapsed="false">
      <c r="A510" s="4" t="s">
        <v>854</v>
      </c>
      <c r="B510" s="4" t="s">
        <v>821</v>
      </c>
      <c r="C510" s="4" t="s">
        <v>743</v>
      </c>
      <c r="D510" s="4" t="s">
        <v>199</v>
      </c>
      <c r="E510" s="4" t="s">
        <v>644</v>
      </c>
      <c r="F510" s="4" t="s">
        <v>814</v>
      </c>
    </row>
    <row r="511" customFormat="false" ht="15" hidden="false" customHeight="false" outlineLevel="0" collapsed="false">
      <c r="A511" s="4" t="s">
        <v>854</v>
      </c>
      <c r="B511" s="4" t="s">
        <v>821</v>
      </c>
      <c r="C511" s="4" t="s">
        <v>743</v>
      </c>
      <c r="D511" s="4" t="s">
        <v>203</v>
      </c>
      <c r="E511" s="4" t="s">
        <v>639</v>
      </c>
      <c r="F511" s="4" t="s">
        <v>814</v>
      </c>
    </row>
    <row r="512" customFormat="false" ht="15" hidden="false" customHeight="false" outlineLevel="0" collapsed="false">
      <c r="A512" s="4" t="s">
        <v>854</v>
      </c>
      <c r="B512" s="4" t="s">
        <v>821</v>
      </c>
      <c r="C512" s="4" t="s">
        <v>743</v>
      </c>
      <c r="D512" s="4" t="s">
        <v>205</v>
      </c>
      <c r="E512" s="4" t="s">
        <v>574</v>
      </c>
      <c r="F512" s="4" t="s">
        <v>815</v>
      </c>
    </row>
    <row r="513" customFormat="false" ht="15" hidden="false" customHeight="false" outlineLevel="0" collapsed="false">
      <c r="A513" s="4" t="s">
        <v>854</v>
      </c>
      <c r="B513" s="4" t="s">
        <v>821</v>
      </c>
      <c r="C513" s="4" t="s">
        <v>743</v>
      </c>
      <c r="D513" s="4" t="s">
        <v>214</v>
      </c>
      <c r="E513" s="4" t="s">
        <v>579</v>
      </c>
      <c r="F513" s="4" t="s">
        <v>815</v>
      </c>
    </row>
    <row r="514" customFormat="false" ht="15" hidden="false" customHeight="false" outlineLevel="0" collapsed="false">
      <c r="A514" s="4" t="s">
        <v>854</v>
      </c>
      <c r="B514" s="4" t="s">
        <v>821</v>
      </c>
      <c r="C514" s="4" t="s">
        <v>743</v>
      </c>
      <c r="D514" s="4" t="s">
        <v>215</v>
      </c>
      <c r="E514" s="4" t="s">
        <v>669</v>
      </c>
      <c r="F514" s="4" t="s">
        <v>824</v>
      </c>
    </row>
    <row r="515" customFormat="false" ht="15" hidden="false" customHeight="false" outlineLevel="0" collapsed="false">
      <c r="A515" s="4" t="s">
        <v>854</v>
      </c>
      <c r="B515" s="4" t="s">
        <v>821</v>
      </c>
      <c r="C515" s="4" t="s">
        <v>743</v>
      </c>
      <c r="D515" s="4" t="s">
        <v>218</v>
      </c>
      <c r="E515" s="4" t="s">
        <v>694</v>
      </c>
      <c r="F515" s="4" t="s">
        <v>817</v>
      </c>
    </row>
    <row r="516" customFormat="false" ht="15" hidden="false" customHeight="false" outlineLevel="0" collapsed="false">
      <c r="A516" s="4" t="s">
        <v>855</v>
      </c>
      <c r="B516" s="4" t="s">
        <v>805</v>
      </c>
      <c r="C516" s="4" t="s">
        <v>744</v>
      </c>
      <c r="D516" s="4" t="s">
        <v>161</v>
      </c>
      <c r="E516" s="4" t="s">
        <v>541</v>
      </c>
      <c r="F516" s="4" t="s">
        <v>808</v>
      </c>
    </row>
    <row r="517" customFormat="false" ht="15" hidden="false" customHeight="false" outlineLevel="0" collapsed="false">
      <c r="A517" s="4" t="s">
        <v>855</v>
      </c>
      <c r="B517" s="4" t="s">
        <v>805</v>
      </c>
      <c r="C517" s="4" t="s">
        <v>744</v>
      </c>
      <c r="D517" s="4" t="s">
        <v>167</v>
      </c>
      <c r="E517" s="4" t="s">
        <v>546</v>
      </c>
      <c r="F517" s="4" t="s">
        <v>808</v>
      </c>
    </row>
    <row r="518" customFormat="false" ht="15" hidden="false" customHeight="false" outlineLevel="0" collapsed="false">
      <c r="A518" s="4" t="s">
        <v>855</v>
      </c>
      <c r="B518" s="4" t="s">
        <v>805</v>
      </c>
      <c r="C518" s="4" t="s">
        <v>744</v>
      </c>
      <c r="D518" s="4" t="s">
        <v>168</v>
      </c>
      <c r="E518" s="4" t="s">
        <v>536</v>
      </c>
      <c r="F518" s="4" t="s">
        <v>808</v>
      </c>
    </row>
    <row r="519" customFormat="false" ht="15" hidden="false" customHeight="false" outlineLevel="0" collapsed="false">
      <c r="A519" s="4" t="s">
        <v>855</v>
      </c>
      <c r="B519" s="4" t="s">
        <v>805</v>
      </c>
      <c r="C519" s="4" t="s">
        <v>744</v>
      </c>
      <c r="D519" s="4" t="s">
        <v>172</v>
      </c>
      <c r="E519" s="4" t="s">
        <v>526</v>
      </c>
      <c r="F519" s="4" t="s">
        <v>808</v>
      </c>
    </row>
    <row r="520" customFormat="false" ht="15" hidden="false" customHeight="false" outlineLevel="0" collapsed="false">
      <c r="A520" s="4" t="s">
        <v>855</v>
      </c>
      <c r="B520" s="4" t="s">
        <v>805</v>
      </c>
      <c r="C520" s="4" t="s">
        <v>744</v>
      </c>
      <c r="D520" s="4" t="s">
        <v>175</v>
      </c>
      <c r="E520" s="4" t="s">
        <v>446</v>
      </c>
      <c r="F520" s="4" t="s">
        <v>807</v>
      </c>
    </row>
    <row r="521" customFormat="false" ht="15" hidden="false" customHeight="false" outlineLevel="0" collapsed="false">
      <c r="A521" s="4" t="s">
        <v>855</v>
      </c>
      <c r="B521" s="4" t="s">
        <v>805</v>
      </c>
      <c r="C521" s="4" t="s">
        <v>744</v>
      </c>
      <c r="D521" s="4" t="s">
        <v>184</v>
      </c>
      <c r="E521" s="4" t="s">
        <v>436</v>
      </c>
      <c r="F521" s="4" t="s">
        <v>807</v>
      </c>
    </row>
    <row r="522" customFormat="false" ht="15" hidden="false" customHeight="false" outlineLevel="0" collapsed="false">
      <c r="A522" s="4" t="s">
        <v>855</v>
      </c>
      <c r="B522" s="4" t="s">
        <v>805</v>
      </c>
      <c r="C522" s="4" t="s">
        <v>744</v>
      </c>
      <c r="D522" s="4" t="s">
        <v>185</v>
      </c>
      <c r="E522" s="4" t="s">
        <v>556</v>
      </c>
      <c r="F522" s="4" t="s">
        <v>815</v>
      </c>
    </row>
    <row r="523" customFormat="false" ht="15" hidden="false" customHeight="false" outlineLevel="0" collapsed="false">
      <c r="A523" s="4" t="s">
        <v>855</v>
      </c>
      <c r="B523" s="4" t="s">
        <v>805</v>
      </c>
      <c r="C523" s="4" t="s">
        <v>744</v>
      </c>
      <c r="D523" s="4" t="s">
        <v>186</v>
      </c>
      <c r="E523" s="4" t="s">
        <v>586</v>
      </c>
      <c r="F523" s="4" t="s">
        <v>815</v>
      </c>
    </row>
    <row r="524" customFormat="false" ht="15" hidden="false" customHeight="false" outlineLevel="0" collapsed="false">
      <c r="A524" s="4" t="s">
        <v>855</v>
      </c>
      <c r="B524" s="4" t="s">
        <v>805</v>
      </c>
      <c r="C524" s="4" t="s">
        <v>744</v>
      </c>
      <c r="D524" s="4" t="s">
        <v>188</v>
      </c>
      <c r="E524" s="4" t="s">
        <v>636</v>
      </c>
      <c r="F524" s="4" t="s">
        <v>814</v>
      </c>
    </row>
    <row r="525" customFormat="false" ht="15" hidden="false" customHeight="false" outlineLevel="0" collapsed="false">
      <c r="A525" s="4" t="s">
        <v>855</v>
      </c>
      <c r="B525" s="4" t="s">
        <v>805</v>
      </c>
      <c r="C525" s="4" t="s">
        <v>744</v>
      </c>
      <c r="D525" s="4" t="s">
        <v>197</v>
      </c>
      <c r="E525" s="4" t="s">
        <v>641</v>
      </c>
      <c r="F525" s="4" t="s">
        <v>814</v>
      </c>
    </row>
    <row r="526" customFormat="false" ht="15" hidden="false" customHeight="false" outlineLevel="0" collapsed="false">
      <c r="A526" s="4" t="s">
        <v>855</v>
      </c>
      <c r="B526" s="4" t="s">
        <v>805</v>
      </c>
      <c r="C526" s="4" t="s">
        <v>744</v>
      </c>
      <c r="D526" s="4" t="s">
        <v>199</v>
      </c>
      <c r="E526" s="4" t="s">
        <v>646</v>
      </c>
      <c r="F526" s="4" t="s">
        <v>814</v>
      </c>
    </row>
    <row r="527" customFormat="false" ht="15" hidden="false" customHeight="false" outlineLevel="0" collapsed="false">
      <c r="A527" s="4" t="s">
        <v>855</v>
      </c>
      <c r="B527" s="4" t="s">
        <v>805</v>
      </c>
      <c r="C527" s="4" t="s">
        <v>744</v>
      </c>
      <c r="D527" s="4" t="s">
        <v>203</v>
      </c>
      <c r="E527" s="4" t="s">
        <v>656</v>
      </c>
      <c r="F527" s="4" t="s">
        <v>814</v>
      </c>
    </row>
    <row r="528" customFormat="false" ht="15" hidden="false" customHeight="false" outlineLevel="0" collapsed="false">
      <c r="A528" s="4" t="s">
        <v>855</v>
      </c>
      <c r="B528" s="4" t="s">
        <v>805</v>
      </c>
      <c r="C528" s="4" t="s">
        <v>744</v>
      </c>
      <c r="D528" s="4" t="s">
        <v>205</v>
      </c>
      <c r="E528" s="4" t="s">
        <v>581</v>
      </c>
      <c r="F528" s="4" t="s">
        <v>815</v>
      </c>
    </row>
    <row r="529" customFormat="false" ht="15" hidden="false" customHeight="false" outlineLevel="0" collapsed="false">
      <c r="A529" s="4" t="s">
        <v>855</v>
      </c>
      <c r="B529" s="4" t="s">
        <v>805</v>
      </c>
      <c r="C529" s="4" t="s">
        <v>744</v>
      </c>
      <c r="D529" s="4" t="s">
        <v>214</v>
      </c>
      <c r="E529" s="4" t="s">
        <v>661</v>
      </c>
      <c r="F529" s="4" t="s">
        <v>816</v>
      </c>
    </row>
    <row r="530" customFormat="false" ht="15" hidden="false" customHeight="false" outlineLevel="0" collapsed="false">
      <c r="A530" s="4" t="s">
        <v>855</v>
      </c>
      <c r="B530" s="4" t="s">
        <v>805</v>
      </c>
      <c r="C530" s="4" t="s">
        <v>744</v>
      </c>
      <c r="D530" s="4" t="s">
        <v>215</v>
      </c>
      <c r="E530" s="4" t="s">
        <v>671</v>
      </c>
      <c r="F530" s="4" t="s">
        <v>824</v>
      </c>
    </row>
    <row r="531" customFormat="false" ht="15" hidden="false" customHeight="false" outlineLevel="0" collapsed="false">
      <c r="A531" s="4" t="s">
        <v>855</v>
      </c>
      <c r="B531" s="4" t="s">
        <v>805</v>
      </c>
      <c r="C531" s="4" t="s">
        <v>744</v>
      </c>
      <c r="D531" s="4" t="s">
        <v>218</v>
      </c>
      <c r="E531" s="4" t="s">
        <v>696</v>
      </c>
      <c r="F531" s="4" t="s">
        <v>817</v>
      </c>
    </row>
    <row r="532" customFormat="false" ht="15" hidden="false" customHeight="false" outlineLevel="0" collapsed="false">
      <c r="A532" s="4" t="s">
        <v>856</v>
      </c>
      <c r="B532" s="4" t="s">
        <v>826</v>
      </c>
      <c r="C532" s="4" t="s">
        <v>742</v>
      </c>
      <c r="D532" s="4" t="s">
        <v>161</v>
      </c>
      <c r="E532" s="4" t="s">
        <v>543</v>
      </c>
      <c r="F532" s="4" t="s">
        <v>808</v>
      </c>
    </row>
    <row r="533" customFormat="false" ht="15" hidden="false" customHeight="false" outlineLevel="0" collapsed="false">
      <c r="A533" s="4" t="s">
        <v>856</v>
      </c>
      <c r="B533" s="4" t="s">
        <v>826</v>
      </c>
      <c r="C533" s="4" t="s">
        <v>742</v>
      </c>
      <c r="D533" s="4" t="s">
        <v>167</v>
      </c>
      <c r="E533" s="4" t="s">
        <v>513</v>
      </c>
      <c r="F533" s="4" t="s">
        <v>808</v>
      </c>
    </row>
    <row r="534" customFormat="false" ht="15" hidden="false" customHeight="false" outlineLevel="0" collapsed="false">
      <c r="A534" s="4" t="s">
        <v>856</v>
      </c>
      <c r="B534" s="4" t="s">
        <v>826</v>
      </c>
      <c r="C534" s="4" t="s">
        <v>742</v>
      </c>
      <c r="D534" s="4" t="s">
        <v>168</v>
      </c>
      <c r="E534" s="4" t="s">
        <v>433</v>
      </c>
      <c r="F534" s="4" t="s">
        <v>807</v>
      </c>
    </row>
    <row r="535" customFormat="false" ht="15" hidden="false" customHeight="false" outlineLevel="0" collapsed="false">
      <c r="A535" s="4" t="s">
        <v>856</v>
      </c>
      <c r="B535" s="4" t="s">
        <v>826</v>
      </c>
      <c r="C535" s="4" t="s">
        <v>742</v>
      </c>
      <c r="D535" s="4" t="s">
        <v>172</v>
      </c>
      <c r="E535" s="4" t="s">
        <v>538</v>
      </c>
      <c r="F535" s="4" t="s">
        <v>808</v>
      </c>
    </row>
    <row r="536" customFormat="false" ht="15" hidden="false" customHeight="false" outlineLevel="0" collapsed="false">
      <c r="A536" s="4" t="s">
        <v>856</v>
      </c>
      <c r="B536" s="4" t="s">
        <v>826</v>
      </c>
      <c r="C536" s="4" t="s">
        <v>742</v>
      </c>
      <c r="D536" s="4" t="s">
        <v>175</v>
      </c>
      <c r="E536" s="4" t="s">
        <v>448</v>
      </c>
      <c r="F536" s="4" t="s">
        <v>807</v>
      </c>
    </row>
    <row r="537" customFormat="false" ht="15" hidden="false" customHeight="false" outlineLevel="0" collapsed="false">
      <c r="A537" s="4" t="s">
        <v>856</v>
      </c>
      <c r="B537" s="4" t="s">
        <v>826</v>
      </c>
      <c r="C537" s="4" t="s">
        <v>742</v>
      </c>
      <c r="D537" s="4" t="s">
        <v>184</v>
      </c>
      <c r="E537" s="4" t="s">
        <v>568</v>
      </c>
      <c r="F537" s="4" t="s">
        <v>815</v>
      </c>
    </row>
    <row r="538" customFormat="false" ht="15" hidden="false" customHeight="false" outlineLevel="0" collapsed="false">
      <c r="A538" s="4" t="s">
        <v>856</v>
      </c>
      <c r="B538" s="4" t="s">
        <v>826</v>
      </c>
      <c r="C538" s="4" t="s">
        <v>742</v>
      </c>
      <c r="D538" s="4" t="s">
        <v>185</v>
      </c>
      <c r="E538" s="4" t="s">
        <v>573</v>
      </c>
      <c r="F538" s="4" t="s">
        <v>815</v>
      </c>
    </row>
    <row r="539" customFormat="false" ht="15" hidden="false" customHeight="false" outlineLevel="0" collapsed="false">
      <c r="A539" s="4" t="s">
        <v>856</v>
      </c>
      <c r="B539" s="4" t="s">
        <v>826</v>
      </c>
      <c r="C539" s="4" t="s">
        <v>742</v>
      </c>
      <c r="D539" s="4" t="s">
        <v>186</v>
      </c>
      <c r="E539" s="4" t="s">
        <v>558</v>
      </c>
      <c r="F539" s="4" t="s">
        <v>815</v>
      </c>
    </row>
    <row r="540" customFormat="false" ht="15" hidden="false" customHeight="false" outlineLevel="0" collapsed="false">
      <c r="A540" s="4" t="s">
        <v>856</v>
      </c>
      <c r="B540" s="4" t="s">
        <v>826</v>
      </c>
      <c r="C540" s="4" t="s">
        <v>742</v>
      </c>
      <c r="D540" s="4" t="s">
        <v>188</v>
      </c>
      <c r="E540" s="4" t="s">
        <v>523</v>
      </c>
      <c r="F540" s="4" t="s">
        <v>808</v>
      </c>
    </row>
    <row r="541" customFormat="false" ht="15" hidden="false" customHeight="false" outlineLevel="0" collapsed="false">
      <c r="A541" s="4" t="s">
        <v>856</v>
      </c>
      <c r="B541" s="4" t="s">
        <v>826</v>
      </c>
      <c r="C541" s="4" t="s">
        <v>742</v>
      </c>
      <c r="D541" s="4" t="s">
        <v>197</v>
      </c>
      <c r="E541" s="4" t="s">
        <v>648</v>
      </c>
      <c r="F541" s="4" t="s">
        <v>814</v>
      </c>
    </row>
    <row r="542" customFormat="false" ht="15" hidden="false" customHeight="false" outlineLevel="0" collapsed="false">
      <c r="A542" s="4" t="s">
        <v>856</v>
      </c>
      <c r="B542" s="4" t="s">
        <v>826</v>
      </c>
      <c r="C542" s="4" t="s">
        <v>742</v>
      </c>
      <c r="D542" s="4" t="s">
        <v>199</v>
      </c>
      <c r="E542" s="4" t="s">
        <v>628</v>
      </c>
      <c r="F542" s="4" t="s">
        <v>814</v>
      </c>
    </row>
    <row r="543" customFormat="false" ht="15" hidden="false" customHeight="false" outlineLevel="0" collapsed="false">
      <c r="A543" s="4" t="s">
        <v>856</v>
      </c>
      <c r="B543" s="4" t="s">
        <v>826</v>
      </c>
      <c r="C543" s="4" t="s">
        <v>742</v>
      </c>
      <c r="D543" s="4" t="s">
        <v>203</v>
      </c>
      <c r="E543" s="4" t="s">
        <v>623</v>
      </c>
      <c r="F543" s="4" t="s">
        <v>814</v>
      </c>
    </row>
    <row r="544" customFormat="false" ht="15" hidden="false" customHeight="false" outlineLevel="0" collapsed="false">
      <c r="A544" s="4" t="s">
        <v>856</v>
      </c>
      <c r="B544" s="4" t="s">
        <v>826</v>
      </c>
      <c r="C544" s="4" t="s">
        <v>742</v>
      </c>
      <c r="D544" s="4" t="s">
        <v>205</v>
      </c>
      <c r="E544" s="4" t="s">
        <v>588</v>
      </c>
      <c r="F544" s="4" t="s">
        <v>815</v>
      </c>
    </row>
    <row r="545" customFormat="false" ht="15" hidden="false" customHeight="false" outlineLevel="0" collapsed="false">
      <c r="A545" s="4" t="s">
        <v>856</v>
      </c>
      <c r="B545" s="4" t="s">
        <v>826</v>
      </c>
      <c r="C545" s="4" t="s">
        <v>742</v>
      </c>
      <c r="D545" s="4" t="s">
        <v>214</v>
      </c>
      <c r="E545" s="4" t="s">
        <v>583</v>
      </c>
      <c r="F545" s="4" t="s">
        <v>815</v>
      </c>
    </row>
    <row r="546" customFormat="false" ht="15" hidden="false" customHeight="false" outlineLevel="0" collapsed="false">
      <c r="A546" s="4" t="s">
        <v>856</v>
      </c>
      <c r="B546" s="4" t="s">
        <v>826</v>
      </c>
      <c r="C546" s="4" t="s">
        <v>742</v>
      </c>
      <c r="D546" s="4" t="s">
        <v>215</v>
      </c>
      <c r="E546" s="4" t="s">
        <v>668</v>
      </c>
      <c r="F546" s="4" t="s">
        <v>824</v>
      </c>
    </row>
    <row r="547" customFormat="false" ht="15" hidden="false" customHeight="false" outlineLevel="0" collapsed="false">
      <c r="A547" s="4" t="s">
        <v>856</v>
      </c>
      <c r="B547" s="4" t="s">
        <v>826</v>
      </c>
      <c r="C547" s="4" t="s">
        <v>742</v>
      </c>
      <c r="D547" s="4" t="s">
        <v>218</v>
      </c>
      <c r="E547" s="4" t="s">
        <v>698</v>
      </c>
      <c r="F547" s="4" t="s">
        <v>817</v>
      </c>
    </row>
    <row r="548" customFormat="false" ht="15" hidden="false" customHeight="false" outlineLevel="0" collapsed="false">
      <c r="A548" s="4" t="s">
        <v>857</v>
      </c>
      <c r="B548" s="4" t="s">
        <v>828</v>
      </c>
      <c r="C548" s="4" t="s">
        <v>743</v>
      </c>
      <c r="D548" s="4" t="s">
        <v>161</v>
      </c>
      <c r="E548" s="4" t="s">
        <v>535</v>
      </c>
      <c r="F548" s="4" t="s">
        <v>808</v>
      </c>
    </row>
    <row r="549" customFormat="false" ht="15" hidden="false" customHeight="false" outlineLevel="0" collapsed="false">
      <c r="A549" s="4" t="s">
        <v>857</v>
      </c>
      <c r="B549" s="4" t="s">
        <v>828</v>
      </c>
      <c r="C549" s="4" t="s">
        <v>743</v>
      </c>
      <c r="D549" s="4" t="s">
        <v>167</v>
      </c>
      <c r="E549" s="4" t="s">
        <v>540</v>
      </c>
      <c r="F549" s="4" t="s">
        <v>808</v>
      </c>
    </row>
    <row r="550" customFormat="false" ht="15" hidden="false" customHeight="false" outlineLevel="0" collapsed="false">
      <c r="A550" s="4" t="s">
        <v>857</v>
      </c>
      <c r="B550" s="4" t="s">
        <v>828</v>
      </c>
      <c r="C550" s="4" t="s">
        <v>743</v>
      </c>
      <c r="D550" s="4" t="s">
        <v>168</v>
      </c>
      <c r="E550" s="4" t="s">
        <v>435</v>
      </c>
      <c r="F550" s="4" t="s">
        <v>807</v>
      </c>
    </row>
    <row r="551" customFormat="false" ht="15" hidden="false" customHeight="false" outlineLevel="0" collapsed="false">
      <c r="A551" s="4" t="s">
        <v>857</v>
      </c>
      <c r="B551" s="4" t="s">
        <v>828</v>
      </c>
      <c r="C551" s="4" t="s">
        <v>743</v>
      </c>
      <c r="D551" s="4" t="s">
        <v>172</v>
      </c>
      <c r="E551" s="4" t="s">
        <v>440</v>
      </c>
      <c r="F551" s="4" t="s">
        <v>807</v>
      </c>
    </row>
    <row r="552" customFormat="false" ht="15" hidden="false" customHeight="false" outlineLevel="0" collapsed="false">
      <c r="A552" s="4" t="s">
        <v>857</v>
      </c>
      <c r="B552" s="4" t="s">
        <v>828</v>
      </c>
      <c r="C552" s="4" t="s">
        <v>743</v>
      </c>
      <c r="D552" s="4" t="s">
        <v>175</v>
      </c>
      <c r="E552" s="4" t="s">
        <v>480</v>
      </c>
      <c r="F552" s="4" t="s">
        <v>809</v>
      </c>
    </row>
    <row r="553" customFormat="false" ht="15" hidden="false" customHeight="false" outlineLevel="0" collapsed="false">
      <c r="A553" s="4" t="s">
        <v>857</v>
      </c>
      <c r="B553" s="4" t="s">
        <v>828</v>
      </c>
      <c r="C553" s="4" t="s">
        <v>743</v>
      </c>
      <c r="D553" s="4" t="s">
        <v>184</v>
      </c>
      <c r="E553" s="4" t="s">
        <v>450</v>
      </c>
      <c r="F553" s="4" t="s">
        <v>807</v>
      </c>
    </row>
    <row r="554" customFormat="false" ht="15" hidden="false" customHeight="false" outlineLevel="0" collapsed="false">
      <c r="A554" s="4" t="s">
        <v>857</v>
      </c>
      <c r="B554" s="4" t="s">
        <v>828</v>
      </c>
      <c r="C554" s="4" t="s">
        <v>743</v>
      </c>
      <c r="D554" s="4" t="s">
        <v>185</v>
      </c>
      <c r="E554" s="4" t="s">
        <v>575</v>
      </c>
      <c r="F554" s="4" t="s">
        <v>815</v>
      </c>
    </row>
    <row r="555" customFormat="false" ht="15" hidden="false" customHeight="false" outlineLevel="0" collapsed="false">
      <c r="A555" s="4" t="s">
        <v>857</v>
      </c>
      <c r="B555" s="4" t="s">
        <v>828</v>
      </c>
      <c r="C555" s="4" t="s">
        <v>743</v>
      </c>
      <c r="D555" s="4" t="s">
        <v>186</v>
      </c>
      <c r="E555" s="4" t="s">
        <v>560</v>
      </c>
      <c r="F555" s="4" t="s">
        <v>815</v>
      </c>
    </row>
    <row r="556" customFormat="false" ht="15" hidden="false" customHeight="false" outlineLevel="0" collapsed="false">
      <c r="A556" s="4" t="s">
        <v>857</v>
      </c>
      <c r="B556" s="4" t="s">
        <v>828</v>
      </c>
      <c r="C556" s="4" t="s">
        <v>743</v>
      </c>
      <c r="D556" s="4" t="s">
        <v>188</v>
      </c>
      <c r="E556" s="4" t="s">
        <v>550</v>
      </c>
      <c r="F556" s="4" t="s">
        <v>808</v>
      </c>
    </row>
    <row r="557" customFormat="false" ht="15" hidden="false" customHeight="false" outlineLevel="0" collapsed="false">
      <c r="A557" s="4" t="s">
        <v>857</v>
      </c>
      <c r="B557" s="4" t="s">
        <v>828</v>
      </c>
      <c r="C557" s="4" t="s">
        <v>743</v>
      </c>
      <c r="D557" s="4" t="s">
        <v>197</v>
      </c>
      <c r="E557" s="4" t="s">
        <v>655</v>
      </c>
      <c r="F557" s="4" t="s">
        <v>814</v>
      </c>
    </row>
    <row r="558" customFormat="false" ht="15" hidden="false" customHeight="false" outlineLevel="0" collapsed="false">
      <c r="A558" s="4" t="s">
        <v>857</v>
      </c>
      <c r="B558" s="4" t="s">
        <v>828</v>
      </c>
      <c r="C558" s="4" t="s">
        <v>743</v>
      </c>
      <c r="D558" s="4" t="s">
        <v>199</v>
      </c>
      <c r="E558" s="4" t="s">
        <v>640</v>
      </c>
      <c r="F558" s="4" t="s">
        <v>814</v>
      </c>
    </row>
    <row r="559" customFormat="false" ht="15" hidden="false" customHeight="false" outlineLevel="0" collapsed="false">
      <c r="A559" s="4" t="s">
        <v>857</v>
      </c>
      <c r="B559" s="4" t="s">
        <v>828</v>
      </c>
      <c r="C559" s="4" t="s">
        <v>743</v>
      </c>
      <c r="D559" s="4" t="s">
        <v>203</v>
      </c>
      <c r="E559" s="4" t="s">
        <v>630</v>
      </c>
      <c r="F559" s="4" t="s">
        <v>814</v>
      </c>
    </row>
    <row r="560" customFormat="false" ht="15" hidden="false" customHeight="false" outlineLevel="0" collapsed="false">
      <c r="A560" s="4" t="s">
        <v>857</v>
      </c>
      <c r="B560" s="4" t="s">
        <v>828</v>
      </c>
      <c r="C560" s="4" t="s">
        <v>743</v>
      </c>
      <c r="D560" s="4" t="s">
        <v>205</v>
      </c>
      <c r="E560" s="4" t="s">
        <v>590</v>
      </c>
      <c r="F560" s="4" t="s">
        <v>815</v>
      </c>
    </row>
    <row r="561" customFormat="false" ht="15" hidden="false" customHeight="false" outlineLevel="0" collapsed="false">
      <c r="A561" s="4" t="s">
        <v>857</v>
      </c>
      <c r="B561" s="4" t="s">
        <v>828</v>
      </c>
      <c r="C561" s="4" t="s">
        <v>743</v>
      </c>
      <c r="D561" s="4" t="s">
        <v>214</v>
      </c>
      <c r="E561" s="4" t="s">
        <v>570</v>
      </c>
      <c r="F561" s="4" t="s">
        <v>815</v>
      </c>
    </row>
    <row r="562" customFormat="false" ht="15" hidden="false" customHeight="false" outlineLevel="0" collapsed="false">
      <c r="A562" s="4" t="s">
        <v>857</v>
      </c>
      <c r="B562" s="4" t="s">
        <v>828</v>
      </c>
      <c r="C562" s="4" t="s">
        <v>743</v>
      </c>
      <c r="D562" s="4" t="s">
        <v>215</v>
      </c>
      <c r="E562" s="4" t="s">
        <v>715</v>
      </c>
      <c r="F562" s="4" t="s">
        <v>817</v>
      </c>
    </row>
    <row r="563" customFormat="false" ht="15" hidden="false" customHeight="false" outlineLevel="0" collapsed="false">
      <c r="A563" s="4" t="s">
        <v>857</v>
      </c>
      <c r="B563" s="4" t="s">
        <v>828</v>
      </c>
      <c r="C563" s="4" t="s">
        <v>743</v>
      </c>
      <c r="D563" s="4" t="s">
        <v>218</v>
      </c>
      <c r="E563" s="4" t="s">
        <v>685</v>
      </c>
      <c r="F563" s="4" t="s">
        <v>817</v>
      </c>
    </row>
    <row r="564" customFormat="false" ht="15" hidden="false" customHeight="false" outlineLevel="0" collapsed="false">
      <c r="A564" s="4" t="s">
        <v>858</v>
      </c>
      <c r="B564" s="4" t="s">
        <v>819</v>
      </c>
      <c r="C564" s="4" t="s">
        <v>744</v>
      </c>
      <c r="D564" s="4" t="s">
        <v>161</v>
      </c>
      <c r="E564" s="4" t="s">
        <v>512</v>
      </c>
      <c r="F564" s="4" t="s">
        <v>808</v>
      </c>
    </row>
    <row r="565" customFormat="false" ht="15" hidden="false" customHeight="false" outlineLevel="0" collapsed="false">
      <c r="A565" s="4" t="s">
        <v>858</v>
      </c>
      <c r="B565" s="4" t="s">
        <v>819</v>
      </c>
      <c r="C565" s="4" t="s">
        <v>744</v>
      </c>
      <c r="D565" s="4" t="s">
        <v>167</v>
      </c>
      <c r="E565" s="4" t="s">
        <v>522</v>
      </c>
      <c r="F565" s="4" t="s">
        <v>808</v>
      </c>
    </row>
    <row r="566" customFormat="false" ht="15" hidden="false" customHeight="false" outlineLevel="0" collapsed="false">
      <c r="A566" s="4" t="s">
        <v>858</v>
      </c>
      <c r="B566" s="4" t="s">
        <v>819</v>
      </c>
      <c r="C566" s="4" t="s">
        <v>744</v>
      </c>
      <c r="D566" s="4" t="s">
        <v>168</v>
      </c>
      <c r="E566" s="4" t="s">
        <v>442</v>
      </c>
      <c r="F566" s="4" t="s">
        <v>807</v>
      </c>
    </row>
    <row r="567" customFormat="false" ht="15" hidden="false" customHeight="false" outlineLevel="0" collapsed="false">
      <c r="A567" s="4" t="s">
        <v>858</v>
      </c>
      <c r="B567" s="4" t="s">
        <v>819</v>
      </c>
      <c r="C567" s="4" t="s">
        <v>744</v>
      </c>
      <c r="D567" s="4" t="s">
        <v>172</v>
      </c>
      <c r="E567" s="4" t="s">
        <v>517</v>
      </c>
      <c r="F567" s="4" t="s">
        <v>808</v>
      </c>
    </row>
    <row r="568" customFormat="false" ht="15" hidden="false" customHeight="false" outlineLevel="0" collapsed="false">
      <c r="A568" s="4" t="s">
        <v>858</v>
      </c>
      <c r="B568" s="4" t="s">
        <v>819</v>
      </c>
      <c r="C568" s="4" t="s">
        <v>744</v>
      </c>
      <c r="D568" s="4" t="s">
        <v>175</v>
      </c>
      <c r="E568" s="4" t="s">
        <v>437</v>
      </c>
      <c r="F568" s="4" t="s">
        <v>807</v>
      </c>
    </row>
    <row r="569" customFormat="false" ht="15" hidden="false" customHeight="false" outlineLevel="0" collapsed="false">
      <c r="A569" s="4" t="s">
        <v>858</v>
      </c>
      <c r="B569" s="4" t="s">
        <v>819</v>
      </c>
      <c r="C569" s="4" t="s">
        <v>744</v>
      </c>
      <c r="D569" s="4" t="s">
        <v>184</v>
      </c>
      <c r="E569" s="4" t="s">
        <v>432</v>
      </c>
      <c r="F569" s="4" t="s">
        <v>807</v>
      </c>
    </row>
    <row r="570" customFormat="false" ht="15" hidden="false" customHeight="false" outlineLevel="0" collapsed="false">
      <c r="A570" s="4" t="s">
        <v>858</v>
      </c>
      <c r="B570" s="4" t="s">
        <v>819</v>
      </c>
      <c r="C570" s="4" t="s">
        <v>744</v>
      </c>
      <c r="D570" s="4" t="s">
        <v>185</v>
      </c>
      <c r="E570" s="4" t="s">
        <v>582</v>
      </c>
      <c r="F570" s="4" t="s">
        <v>815</v>
      </c>
    </row>
    <row r="571" customFormat="false" ht="15" hidden="false" customHeight="false" outlineLevel="0" collapsed="false">
      <c r="A571" s="4" t="s">
        <v>858</v>
      </c>
      <c r="B571" s="4" t="s">
        <v>819</v>
      </c>
      <c r="C571" s="4" t="s">
        <v>744</v>
      </c>
      <c r="D571" s="4" t="s">
        <v>186</v>
      </c>
      <c r="E571" s="4" t="s">
        <v>577</v>
      </c>
      <c r="F571" s="4" t="s">
        <v>815</v>
      </c>
    </row>
    <row r="572" customFormat="false" ht="15" hidden="false" customHeight="false" outlineLevel="0" collapsed="false">
      <c r="A572" s="4" t="s">
        <v>858</v>
      </c>
      <c r="B572" s="4" t="s">
        <v>819</v>
      </c>
      <c r="C572" s="4" t="s">
        <v>744</v>
      </c>
      <c r="D572" s="4" t="s">
        <v>188</v>
      </c>
      <c r="E572" s="4" t="s">
        <v>717</v>
      </c>
      <c r="F572" s="4" t="s">
        <v>817</v>
      </c>
    </row>
    <row r="573" customFormat="false" ht="15" hidden="false" customHeight="false" outlineLevel="0" collapsed="false">
      <c r="A573" s="4" t="s">
        <v>858</v>
      </c>
      <c r="B573" s="4" t="s">
        <v>819</v>
      </c>
      <c r="C573" s="4" t="s">
        <v>744</v>
      </c>
      <c r="D573" s="4" t="s">
        <v>197</v>
      </c>
      <c r="E573" s="4" t="s">
        <v>637</v>
      </c>
      <c r="F573" s="4" t="s">
        <v>814</v>
      </c>
    </row>
    <row r="574" customFormat="false" ht="15" hidden="false" customHeight="false" outlineLevel="0" collapsed="false">
      <c r="A574" s="4" t="s">
        <v>858</v>
      </c>
      <c r="B574" s="4" t="s">
        <v>819</v>
      </c>
      <c r="C574" s="4" t="s">
        <v>744</v>
      </c>
      <c r="D574" s="4" t="s">
        <v>199</v>
      </c>
      <c r="E574" s="4" t="s">
        <v>682</v>
      </c>
      <c r="F574" s="4" t="s">
        <v>817</v>
      </c>
    </row>
    <row r="575" customFormat="false" ht="15" hidden="false" customHeight="false" outlineLevel="0" collapsed="false">
      <c r="A575" s="4" t="s">
        <v>858</v>
      </c>
      <c r="B575" s="4" t="s">
        <v>819</v>
      </c>
      <c r="C575" s="4" t="s">
        <v>744</v>
      </c>
      <c r="D575" s="4" t="s">
        <v>203</v>
      </c>
      <c r="E575" s="4" t="s">
        <v>652</v>
      </c>
      <c r="F575" s="4" t="s">
        <v>814</v>
      </c>
    </row>
    <row r="576" customFormat="false" ht="15" hidden="false" customHeight="false" outlineLevel="0" collapsed="false">
      <c r="A576" s="4" t="s">
        <v>858</v>
      </c>
      <c r="B576" s="4" t="s">
        <v>819</v>
      </c>
      <c r="C576" s="4" t="s">
        <v>744</v>
      </c>
      <c r="D576" s="4" t="s">
        <v>205</v>
      </c>
      <c r="E576" s="4" t="s">
        <v>707</v>
      </c>
      <c r="F576" s="4" t="s">
        <v>817</v>
      </c>
    </row>
    <row r="577" customFormat="false" ht="15" hidden="false" customHeight="false" outlineLevel="0" collapsed="false">
      <c r="A577" s="4" t="s">
        <v>858</v>
      </c>
      <c r="B577" s="4" t="s">
        <v>819</v>
      </c>
      <c r="C577" s="4" t="s">
        <v>744</v>
      </c>
      <c r="D577" s="4" t="s">
        <v>214</v>
      </c>
      <c r="E577" s="4" t="s">
        <v>712</v>
      </c>
      <c r="F577" s="4" t="s">
        <v>817</v>
      </c>
    </row>
    <row r="578" customFormat="false" ht="15" hidden="false" customHeight="false" outlineLevel="0" collapsed="false">
      <c r="A578" s="4" t="s">
        <v>858</v>
      </c>
      <c r="B578" s="4" t="s">
        <v>819</v>
      </c>
      <c r="C578" s="4" t="s">
        <v>744</v>
      </c>
      <c r="D578" s="4" t="s">
        <v>215</v>
      </c>
      <c r="E578" s="4" t="s">
        <v>702</v>
      </c>
      <c r="F578" s="4" t="s">
        <v>817</v>
      </c>
    </row>
    <row r="579" customFormat="false" ht="15" hidden="false" customHeight="false" outlineLevel="0" collapsed="false">
      <c r="A579" s="4" t="s">
        <v>858</v>
      </c>
      <c r="B579" s="4" t="s">
        <v>819</v>
      </c>
      <c r="C579" s="4" t="s">
        <v>744</v>
      </c>
      <c r="D579" s="4" t="s">
        <v>218</v>
      </c>
      <c r="E579" s="4" t="s">
        <v>697</v>
      </c>
      <c r="F579" s="4" t="s">
        <v>817</v>
      </c>
    </row>
  </sheetData>
  <autoFilter ref="A3:F579"/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22"/>
    <col collapsed="false" customWidth="true" hidden="false" outlineLevel="0" max="6" min="2" style="0" width="30"/>
  </cols>
  <sheetData>
    <row r="1" customFormat="false" ht="17.35" hidden="false" customHeight="false" outlineLevel="0" collapsed="false">
      <c r="A1" s="1" t="s">
        <v>859</v>
      </c>
    </row>
    <row r="3" customFormat="false" ht="15" hidden="false" customHeight="false" outlineLevel="0" collapsed="false">
      <c r="A3" s="6" t="s">
        <v>860</v>
      </c>
    </row>
    <row r="5" customFormat="false" ht="15" hidden="false" customHeight="false" outlineLevel="0" collapsed="false">
      <c r="A5" s="6" t="s">
        <v>861</v>
      </c>
    </row>
    <row r="6" customFormat="false" ht="15" hidden="false" customHeight="false" outlineLevel="0" collapsed="false">
      <c r="A6" s="3" t="s">
        <v>862</v>
      </c>
      <c r="B6" s="3" t="s">
        <v>863</v>
      </c>
    </row>
    <row r="7" customFormat="false" ht="15" hidden="false" customHeight="false" outlineLevel="0" collapsed="false">
      <c r="A7" s="4" t="s">
        <v>864</v>
      </c>
      <c r="B7" s="4" t="s">
        <v>865</v>
      </c>
    </row>
    <row r="8" customFormat="false" ht="15" hidden="false" customHeight="false" outlineLevel="0" collapsed="false">
      <c r="A8" s="4" t="s">
        <v>866</v>
      </c>
      <c r="B8" s="4" t="s">
        <v>867</v>
      </c>
    </row>
    <row r="9" customFormat="false" ht="15" hidden="false" customHeight="false" outlineLevel="0" collapsed="false">
      <c r="A9" s="4" t="s">
        <v>868</v>
      </c>
      <c r="B9" s="4" t="s">
        <v>869</v>
      </c>
    </row>
    <row r="10" customFormat="false" ht="15" hidden="false" customHeight="false" outlineLevel="0" collapsed="false">
      <c r="A10" s="4" t="s">
        <v>870</v>
      </c>
      <c r="B10" s="4" t="s">
        <v>871</v>
      </c>
    </row>
    <row r="11" customFormat="false" ht="15" hidden="false" customHeight="false" outlineLevel="0" collapsed="false">
      <c r="A11" s="4" t="s">
        <v>872</v>
      </c>
      <c r="B11" s="4" t="s">
        <v>873</v>
      </c>
    </row>
    <row r="12" customFormat="false" ht="15" hidden="false" customHeight="false" outlineLevel="0" collapsed="false">
      <c r="A12" s="4" t="s">
        <v>874</v>
      </c>
      <c r="B12" s="4" t="s">
        <v>875</v>
      </c>
    </row>
    <row r="13" customFormat="false" ht="15" hidden="false" customHeight="false" outlineLevel="0" collapsed="false">
      <c r="A13" s="4" t="s">
        <v>876</v>
      </c>
      <c r="B13" s="4" t="s">
        <v>877</v>
      </c>
    </row>
    <row r="14" customFormat="false" ht="15" hidden="false" customHeight="false" outlineLevel="0" collapsed="false">
      <c r="A14" s="4"/>
      <c r="B14" s="4" t="s">
        <v>878</v>
      </c>
    </row>
    <row r="15" customFormat="false" ht="15" hidden="false" customHeight="false" outlineLevel="0" collapsed="false">
      <c r="A15" s="4"/>
      <c r="B15" s="4" t="s">
        <v>879</v>
      </c>
    </row>
    <row r="17" customFormat="false" ht="15" hidden="false" customHeight="false" outlineLevel="0" collapsed="false">
      <c r="A17" s="6" t="s">
        <v>880</v>
      </c>
    </row>
    <row r="18" customFormat="false" ht="15" hidden="false" customHeight="false" outlineLevel="0" collapsed="false">
      <c r="A18" s="3" t="s">
        <v>137</v>
      </c>
      <c r="B18" s="3" t="s">
        <v>881</v>
      </c>
      <c r="C18" s="3" t="s">
        <v>137</v>
      </c>
      <c r="D18" s="3" t="s">
        <v>881</v>
      </c>
    </row>
    <row r="19" customFormat="false" ht="15" hidden="false" customHeight="false" outlineLevel="0" collapsed="false">
      <c r="A19" s="4" t="s">
        <v>151</v>
      </c>
      <c r="B19" s="8" t="s">
        <v>882</v>
      </c>
      <c r="C19" s="4" t="s">
        <v>197</v>
      </c>
      <c r="D19" s="8" t="s">
        <v>882</v>
      </c>
    </row>
    <row r="20" customFormat="false" ht="15" hidden="false" customHeight="false" outlineLevel="0" collapsed="false">
      <c r="A20" s="4" t="s">
        <v>158</v>
      </c>
      <c r="B20" s="8" t="s">
        <v>882</v>
      </c>
      <c r="C20" s="4" t="s">
        <v>199</v>
      </c>
      <c r="D20" s="8" t="s">
        <v>882</v>
      </c>
    </row>
    <row r="21" customFormat="false" ht="15" hidden="false" customHeight="false" outlineLevel="0" collapsed="false">
      <c r="A21" s="4" t="s">
        <v>161</v>
      </c>
      <c r="B21" s="8" t="s">
        <v>882</v>
      </c>
      <c r="C21" s="4" t="s">
        <v>203</v>
      </c>
      <c r="D21" s="31" t="s">
        <v>883</v>
      </c>
    </row>
    <row r="22" customFormat="false" ht="15" hidden="false" customHeight="false" outlineLevel="0" collapsed="false">
      <c r="A22" s="4" t="s">
        <v>167</v>
      </c>
      <c r="B22" s="31" t="s">
        <v>883</v>
      </c>
      <c r="C22" s="4" t="s">
        <v>205</v>
      </c>
      <c r="D22" s="8" t="s">
        <v>882</v>
      </c>
    </row>
    <row r="23" customFormat="false" ht="15" hidden="false" customHeight="false" outlineLevel="0" collapsed="false">
      <c r="A23" s="4" t="s">
        <v>168</v>
      </c>
      <c r="B23" s="8" t="s">
        <v>882</v>
      </c>
      <c r="C23" s="4" t="s">
        <v>214</v>
      </c>
      <c r="D23" s="8" t="s">
        <v>882</v>
      </c>
    </row>
    <row r="24" customFormat="false" ht="15" hidden="false" customHeight="false" outlineLevel="0" collapsed="false">
      <c r="A24" s="4" t="s">
        <v>172</v>
      </c>
      <c r="B24" s="8" t="s">
        <v>882</v>
      </c>
      <c r="C24" s="4" t="s">
        <v>215</v>
      </c>
      <c r="D24" s="8" t="s">
        <v>882</v>
      </c>
    </row>
    <row r="25" customFormat="false" ht="15" hidden="false" customHeight="false" outlineLevel="0" collapsed="false">
      <c r="A25" s="4" t="s">
        <v>175</v>
      </c>
      <c r="B25" s="8" t="s">
        <v>882</v>
      </c>
      <c r="C25" s="4" t="s">
        <v>218</v>
      </c>
      <c r="D25" s="31" t="s">
        <v>883</v>
      </c>
    </row>
    <row r="26" customFormat="false" ht="15" hidden="false" customHeight="false" outlineLevel="0" collapsed="false">
      <c r="A26" s="4" t="s">
        <v>184</v>
      </c>
      <c r="B26" s="31" t="s">
        <v>883</v>
      </c>
      <c r="C26" s="4" t="s">
        <v>221</v>
      </c>
      <c r="D26" s="8" t="s">
        <v>882</v>
      </c>
    </row>
    <row r="27" customFormat="false" ht="15" hidden="false" customHeight="false" outlineLevel="0" collapsed="false">
      <c r="A27" s="4" t="s">
        <v>185</v>
      </c>
      <c r="B27" s="8" t="s">
        <v>882</v>
      </c>
      <c r="C27" s="4" t="s">
        <v>231</v>
      </c>
      <c r="D27" s="8" t="s">
        <v>882</v>
      </c>
    </row>
    <row r="28" customFormat="false" ht="15" hidden="false" customHeight="false" outlineLevel="0" collapsed="false">
      <c r="A28" s="4" t="s">
        <v>186</v>
      </c>
      <c r="B28" s="8" t="s">
        <v>882</v>
      </c>
      <c r="C28" s="4" t="s">
        <v>232</v>
      </c>
      <c r="D28" s="8" t="s">
        <v>882</v>
      </c>
    </row>
    <row r="29" customFormat="false" ht="15" hidden="false" customHeight="false" outlineLevel="0" collapsed="false">
      <c r="A29" s="4" t="s">
        <v>188</v>
      </c>
      <c r="B29" s="8" t="s">
        <v>882</v>
      </c>
      <c r="C29" s="4" t="s">
        <v>233</v>
      </c>
      <c r="D29" s="8" t="s">
        <v>882</v>
      </c>
    </row>
    <row r="30" customFormat="false" ht="15" hidden="false" customHeight="false" outlineLevel="0" collapsed="false">
      <c r="A30" s="2" t="s">
        <v>884</v>
      </c>
    </row>
    <row r="32" customFormat="false" ht="15" hidden="false" customHeight="false" outlineLevel="0" collapsed="false">
      <c r="A32" s="6" t="s">
        <v>885</v>
      </c>
    </row>
    <row r="33" customFormat="false" ht="15" hidden="false" customHeight="false" outlineLevel="0" collapsed="false">
      <c r="A33" s="3" t="s">
        <v>886</v>
      </c>
      <c r="B33" s="3" t="s">
        <v>887</v>
      </c>
      <c r="C33" s="3" t="s">
        <v>888</v>
      </c>
    </row>
    <row r="34" customFormat="false" ht="15" hidden="false" customHeight="false" outlineLevel="0" collapsed="false">
      <c r="A34" s="4" t="s">
        <v>889</v>
      </c>
      <c r="B34" s="4" t="n">
        <v>0</v>
      </c>
      <c r="C34" s="4" t="n">
        <v>0</v>
      </c>
    </row>
    <row r="35" customFormat="false" ht="15" hidden="false" customHeight="false" outlineLevel="0" collapsed="false">
      <c r="A35" s="4" t="s">
        <v>890</v>
      </c>
      <c r="B35" s="4" t="n">
        <v>0</v>
      </c>
      <c r="C35" s="4" t="n">
        <v>5</v>
      </c>
    </row>
    <row r="36" customFormat="false" ht="15" hidden="false" customHeight="false" outlineLevel="0" collapsed="false">
      <c r="A36" s="4" t="s">
        <v>891</v>
      </c>
      <c r="B36" s="4" t="n">
        <v>6</v>
      </c>
      <c r="C36" s="4" t="n">
        <v>8</v>
      </c>
    </row>
    <row r="37" customFormat="false" ht="15" hidden="false" customHeight="false" outlineLevel="0" collapsed="false">
      <c r="A37" s="4" t="s">
        <v>892</v>
      </c>
      <c r="B37" s="4" t="n">
        <v>0</v>
      </c>
      <c r="C37" s="4" t="n">
        <v>7</v>
      </c>
    </row>
    <row r="38" customFormat="false" ht="15" hidden="false" customHeight="false" outlineLevel="0" collapsed="false">
      <c r="A38" s="4" t="s">
        <v>893</v>
      </c>
      <c r="B38" s="4" t="n">
        <v>0</v>
      </c>
      <c r="C38" s="4" t="n">
        <v>0</v>
      </c>
    </row>
    <row r="39" customFormat="false" ht="15" hidden="false" customHeight="false" outlineLevel="0" collapsed="false">
      <c r="A39" s="4" t="s">
        <v>894</v>
      </c>
      <c r="B39" s="4" t="n">
        <v>4</v>
      </c>
      <c r="C39" s="4" t="n">
        <v>0</v>
      </c>
    </row>
    <row r="40" customFormat="false" ht="15" hidden="false" customHeight="false" outlineLevel="0" collapsed="false">
      <c r="A40" s="4" t="s">
        <v>895</v>
      </c>
      <c r="B40" s="4" t="n">
        <v>2</v>
      </c>
      <c r="C40" s="4" t="n">
        <v>0</v>
      </c>
    </row>
    <row r="41" customFormat="false" ht="15" hidden="false" customHeight="false" outlineLevel="0" collapsed="false">
      <c r="A41" s="4" t="s">
        <v>896</v>
      </c>
      <c r="B41" s="4" t="n">
        <v>4</v>
      </c>
      <c r="C41" s="4" t="n">
        <v>8</v>
      </c>
    </row>
    <row r="42" customFormat="false" ht="15" hidden="false" customHeight="false" outlineLevel="0" collapsed="false">
      <c r="A42" s="4" t="s">
        <v>897</v>
      </c>
      <c r="B42" s="4" t="n">
        <v>6</v>
      </c>
      <c r="C42" s="4" t="n">
        <v>4</v>
      </c>
    </row>
    <row r="43" customFormat="false" ht="15" hidden="false" customHeight="false" outlineLevel="0" collapsed="false">
      <c r="A43" s="4" t="s">
        <v>898</v>
      </c>
      <c r="B43" s="4" t="n">
        <v>6</v>
      </c>
      <c r="C43" s="4" t="n">
        <v>0</v>
      </c>
    </row>
    <row r="44" customFormat="false" ht="15" hidden="false" customHeight="false" outlineLevel="0" collapsed="false">
      <c r="A44" s="4" t="s">
        <v>899</v>
      </c>
      <c r="B44" s="4" t="n">
        <v>0</v>
      </c>
      <c r="C44" s="4" t="n">
        <v>0</v>
      </c>
    </row>
    <row r="45" customFormat="false" ht="15" hidden="false" customHeight="false" outlineLevel="0" collapsed="false">
      <c r="A45" s="14" t="s">
        <v>900</v>
      </c>
      <c r="B45" s="14" t="n">
        <f aca="false">SUM(B34:B44)</f>
        <v>28</v>
      </c>
      <c r="C45" s="14" t="n">
        <f aca="false">SUM(C34:C44)</f>
        <v>32</v>
      </c>
    </row>
    <row r="46" customFormat="false" ht="15" hidden="false" customHeight="false" outlineLevel="0" collapsed="false">
      <c r="A46" s="2" t="s">
        <v>901</v>
      </c>
    </row>
    <row r="48" customFormat="false" ht="15" hidden="false" customHeight="false" outlineLevel="0" collapsed="false">
      <c r="A48" s="6" t="s">
        <v>902</v>
      </c>
    </row>
    <row r="49" customFormat="false" ht="15" hidden="false" customHeight="false" outlineLevel="0" collapsed="false">
      <c r="A49" s="3" t="s">
        <v>137</v>
      </c>
      <c r="B49" s="3" t="s">
        <v>87</v>
      </c>
      <c r="C49" s="3" t="s">
        <v>104</v>
      </c>
      <c r="D49" s="3" t="s">
        <v>82</v>
      </c>
      <c r="E49" s="3" t="s">
        <v>128</v>
      </c>
      <c r="F49" s="3" t="s">
        <v>100</v>
      </c>
    </row>
    <row r="50" customFormat="false" ht="31.5" hidden="false" customHeight="true" outlineLevel="0" collapsed="false">
      <c r="A50" s="4" t="s">
        <v>903</v>
      </c>
      <c r="B50" s="32" t="s">
        <v>904</v>
      </c>
      <c r="C50" s="32" t="s">
        <v>905</v>
      </c>
      <c r="D50" s="32" t="s">
        <v>906</v>
      </c>
      <c r="E50" s="33" t="s">
        <v>907</v>
      </c>
      <c r="F50" s="33" t="s">
        <v>908</v>
      </c>
    </row>
    <row r="51" customFormat="false" ht="31.5" hidden="false" customHeight="true" outlineLevel="0" collapsed="false">
      <c r="A51" s="4" t="s">
        <v>909</v>
      </c>
      <c r="B51" s="32" t="s">
        <v>905</v>
      </c>
      <c r="C51" s="32" t="s">
        <v>906</v>
      </c>
      <c r="D51" s="33" t="s">
        <v>907</v>
      </c>
      <c r="E51" s="33" t="s">
        <v>908</v>
      </c>
      <c r="F51" s="33" t="s">
        <v>910</v>
      </c>
    </row>
    <row r="52" customFormat="false" ht="31.5" hidden="false" customHeight="true" outlineLevel="0" collapsed="false">
      <c r="A52" s="4" t="s">
        <v>911</v>
      </c>
      <c r="B52" s="32" t="s">
        <v>906</v>
      </c>
      <c r="C52" s="33" t="s">
        <v>907</v>
      </c>
      <c r="D52" s="33" t="s">
        <v>908</v>
      </c>
      <c r="E52" s="33" t="s">
        <v>910</v>
      </c>
      <c r="F52" s="32" t="s">
        <v>904</v>
      </c>
    </row>
    <row r="53" customFormat="false" ht="31.5" hidden="false" customHeight="true" outlineLevel="0" collapsed="false">
      <c r="A53" s="4" t="s">
        <v>912</v>
      </c>
      <c r="B53" s="33" t="s">
        <v>907</v>
      </c>
      <c r="C53" s="33" t="s">
        <v>908</v>
      </c>
      <c r="D53" s="33" t="s">
        <v>910</v>
      </c>
      <c r="E53" s="32" t="s">
        <v>904</v>
      </c>
      <c r="F53" s="32" t="s">
        <v>905</v>
      </c>
    </row>
    <row r="54" customFormat="false" ht="31.5" hidden="false" customHeight="true" outlineLevel="0" collapsed="false">
      <c r="A54" s="4" t="s">
        <v>913</v>
      </c>
      <c r="B54" s="33" t="s">
        <v>908</v>
      </c>
      <c r="C54" s="33" t="s">
        <v>910</v>
      </c>
      <c r="D54" s="32" t="s">
        <v>904</v>
      </c>
      <c r="E54" s="32" t="s">
        <v>905</v>
      </c>
      <c r="F54" s="32" t="s">
        <v>906</v>
      </c>
    </row>
    <row r="55" customFormat="false" ht="31.5" hidden="false" customHeight="true" outlineLevel="0" collapsed="false">
      <c r="A55" s="4" t="s">
        <v>914</v>
      </c>
      <c r="B55" s="33" t="s">
        <v>910</v>
      </c>
      <c r="C55" s="32" t="s">
        <v>904</v>
      </c>
      <c r="D55" s="32" t="s">
        <v>905</v>
      </c>
      <c r="E55" s="32" t="s">
        <v>906</v>
      </c>
      <c r="F55" s="33" t="s">
        <v>907</v>
      </c>
    </row>
    <row r="56" customFormat="false" ht="31.5" hidden="false" customHeight="true" outlineLevel="0" collapsed="false">
      <c r="A56" s="4" t="s">
        <v>915</v>
      </c>
      <c r="B56" s="32" t="s">
        <v>904</v>
      </c>
      <c r="C56" s="32" t="s">
        <v>905</v>
      </c>
      <c r="D56" s="32" t="s">
        <v>906</v>
      </c>
      <c r="E56" s="33" t="s">
        <v>907</v>
      </c>
      <c r="F56" s="33" t="s">
        <v>908</v>
      </c>
    </row>
    <row r="57" customFormat="false" ht="15" hidden="false" customHeight="false" outlineLevel="0" collapsed="false">
      <c r="A57" s="2" t="s">
        <v>916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2" min="2" style="0" width="22"/>
    <col collapsed="false" customWidth="true" hidden="false" outlineLevel="0" max="3" min="3" style="0" width="16"/>
    <col collapsed="false" customWidth="true" hidden="false" outlineLevel="0" max="4" min="4" style="0" width="14"/>
    <col collapsed="false" customWidth="true" hidden="false" outlineLevel="0" max="5" min="5" style="0" width="16"/>
  </cols>
  <sheetData>
    <row r="1" customFormat="false" ht="17.35" hidden="false" customHeight="false" outlineLevel="0" collapsed="false">
      <c r="A1" s="1" t="s">
        <v>917</v>
      </c>
    </row>
    <row r="3" customFormat="false" ht="26.85" hidden="false" customHeight="false" outlineLevel="0" collapsed="false">
      <c r="A3" s="3" t="s">
        <v>918</v>
      </c>
      <c r="B3" s="3" t="s">
        <v>919</v>
      </c>
      <c r="C3" s="3" t="s">
        <v>920</v>
      </c>
      <c r="D3" s="3" t="s">
        <v>921</v>
      </c>
      <c r="E3" s="3" t="s">
        <v>922</v>
      </c>
    </row>
    <row r="4" customFormat="false" ht="15" hidden="false" customHeight="false" outlineLevel="0" collapsed="false">
      <c r="A4" s="4" t="s">
        <v>923</v>
      </c>
      <c r="B4" s="5" t="n">
        <v>2</v>
      </c>
      <c r="C4" s="5" t="n">
        <v>2</v>
      </c>
      <c r="D4" s="4" t="n">
        <f aca="false">Calendário!$B$16</f>
        <v>246</v>
      </c>
      <c r="E4" s="4" t="n">
        <f aca="false">B4*C4*D4</f>
        <v>984</v>
      </c>
    </row>
    <row r="5" customFormat="false" ht="15" hidden="false" customHeight="false" outlineLevel="0" collapsed="false">
      <c r="A5" s="4" t="s">
        <v>924</v>
      </c>
      <c r="B5" s="5" t="n">
        <v>2</v>
      </c>
      <c r="C5" s="5" t="n">
        <v>2</v>
      </c>
      <c r="D5" s="4" t="n">
        <f aca="false">Calendário!$B$16</f>
        <v>246</v>
      </c>
      <c r="E5" s="4" t="n">
        <f aca="false">B5*C5*D5</f>
        <v>984</v>
      </c>
    </row>
    <row r="6" customFormat="false" ht="15" hidden="false" customHeight="false" outlineLevel="0" collapsed="false">
      <c r="A6" s="4" t="s">
        <v>925</v>
      </c>
      <c r="B6" s="5" t="n">
        <v>2</v>
      </c>
      <c r="C6" s="5" t="n">
        <v>2</v>
      </c>
      <c r="D6" s="4" t="n">
        <f aca="false">Calendário!$B$16</f>
        <v>246</v>
      </c>
      <c r="E6" s="4" t="n">
        <f aca="false">B6*C6*D6</f>
        <v>984</v>
      </c>
    </row>
    <row r="7" customFormat="false" ht="15" hidden="false" customHeight="false" outlineLevel="0" collapsed="false">
      <c r="A7" s="4" t="s">
        <v>926</v>
      </c>
      <c r="B7" s="5" t="n">
        <v>2</v>
      </c>
      <c r="C7" s="5" t="n">
        <v>2</v>
      </c>
      <c r="D7" s="4" t="n">
        <f aca="false">Calendário!$B$16</f>
        <v>246</v>
      </c>
      <c r="E7" s="4" t="n">
        <f aca="false">B7*C7*D7</f>
        <v>984</v>
      </c>
    </row>
    <row r="8" customFormat="false" ht="15" hidden="false" customHeight="false" outlineLevel="0" collapsed="false">
      <c r="A8" s="4" t="s">
        <v>927</v>
      </c>
      <c r="B8" s="5" t="n">
        <v>2</v>
      </c>
      <c r="C8" s="5" t="n">
        <v>2</v>
      </c>
      <c r="D8" s="4" t="n">
        <f aca="false">Calendário!$B$16</f>
        <v>246</v>
      </c>
      <c r="E8" s="4" t="n">
        <f aca="false">B8*C8*D8</f>
        <v>984</v>
      </c>
    </row>
    <row r="9" customFormat="false" ht="15" hidden="false" customHeight="false" outlineLevel="0" collapsed="false">
      <c r="A9" s="4" t="s">
        <v>148</v>
      </c>
      <c r="B9" s="5" t="n">
        <v>1</v>
      </c>
      <c r="C9" s="5" t="n">
        <v>2</v>
      </c>
      <c r="D9" s="4" t="n">
        <f aca="false">Calendário!$B$16</f>
        <v>246</v>
      </c>
      <c r="E9" s="4" t="n">
        <f aca="false">B9*C9*D9</f>
        <v>492</v>
      </c>
    </row>
    <row r="10" customFormat="false" ht="15" hidden="false" customHeight="false" outlineLevel="0" collapsed="false">
      <c r="A10" s="4" t="s">
        <v>928</v>
      </c>
      <c r="B10" s="5" t="n">
        <v>1</v>
      </c>
      <c r="C10" s="5" t="n">
        <v>2</v>
      </c>
      <c r="D10" s="4" t="n">
        <f aca="false">Calendário!$B$16</f>
        <v>246</v>
      </c>
      <c r="E10" s="4" t="n">
        <f aca="false">B10*C10*D10</f>
        <v>492</v>
      </c>
    </row>
    <row r="11" customFormat="false" ht="15" hidden="false" customHeight="false" outlineLevel="0" collapsed="false">
      <c r="A11" s="4" t="s">
        <v>929</v>
      </c>
      <c r="B11" s="5" t="n">
        <v>1</v>
      </c>
      <c r="C11" s="5" t="n">
        <v>2</v>
      </c>
      <c r="D11" s="4" t="n">
        <f aca="false">Calendário!$B$16</f>
        <v>246</v>
      </c>
      <c r="E11" s="4" t="n">
        <f aca="false">B11*C11*D11</f>
        <v>492</v>
      </c>
    </row>
    <row r="12" customFormat="false" ht="15" hidden="false" customHeight="false" outlineLevel="0" collapsed="false">
      <c r="A12" s="4" t="s">
        <v>930</v>
      </c>
      <c r="B12" s="5" t="n">
        <v>1</v>
      </c>
      <c r="C12" s="5" t="n">
        <v>2</v>
      </c>
      <c r="D12" s="4" t="n">
        <f aca="false">Calendário!$B$16</f>
        <v>246</v>
      </c>
      <c r="E12" s="4" t="n">
        <f aca="false">B12*C12*D12</f>
        <v>492</v>
      </c>
    </row>
    <row r="13" customFormat="false" ht="15" hidden="false" customHeight="false" outlineLevel="0" collapsed="false">
      <c r="A13" s="4" t="s">
        <v>931</v>
      </c>
      <c r="B13" s="5" t="n">
        <v>1</v>
      </c>
      <c r="C13" s="5" t="n">
        <v>2</v>
      </c>
      <c r="D13" s="4" t="n">
        <f aca="false">Calendário!$B$16</f>
        <v>246</v>
      </c>
      <c r="E13" s="4" t="n">
        <f aca="false">B13*C13*D13</f>
        <v>492</v>
      </c>
    </row>
    <row r="14" customFormat="false" ht="15" hidden="false" customHeight="false" outlineLevel="0" collapsed="false">
      <c r="A14" s="4" t="s">
        <v>932</v>
      </c>
      <c r="B14" s="5" t="n">
        <v>1</v>
      </c>
      <c r="C14" s="5" t="n">
        <v>2</v>
      </c>
      <c r="D14" s="4" t="n">
        <f aca="false">Calendário!$B$16</f>
        <v>246</v>
      </c>
      <c r="E14" s="4" t="n">
        <f aca="false">B14*C14*D14</f>
        <v>492</v>
      </c>
    </row>
    <row r="15" customFormat="false" ht="15" hidden="false" customHeight="false" outlineLevel="0" collapsed="false">
      <c r="A15" s="4" t="s">
        <v>933</v>
      </c>
      <c r="B15" s="5" t="n">
        <v>3</v>
      </c>
      <c r="C15" s="5" t="n">
        <v>2</v>
      </c>
      <c r="D15" s="5" t="n">
        <v>12</v>
      </c>
      <c r="E15" s="4" t="n">
        <f aca="false">B15*C15*D15</f>
        <v>72</v>
      </c>
    </row>
    <row r="16" customFormat="false" ht="15" hidden="false" customHeight="false" outlineLevel="0" collapsed="false">
      <c r="A16" s="14" t="s">
        <v>934</v>
      </c>
      <c r="E16" s="14" t="n">
        <f aca="false">SUM(E4:E15)</f>
        <v>7944</v>
      </c>
    </row>
    <row r="18" customFormat="false" ht="15" hidden="false" customHeight="false" outlineLevel="0" collapsed="false">
      <c r="A18" s="2" t="s">
        <v>935</v>
      </c>
    </row>
    <row r="19" customFormat="false" ht="15" hidden="false" customHeight="false" outlineLevel="0" collapsed="false">
      <c r="A19" s="2" t="s">
        <v>936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2026-10-22T16:15:28Z</dcterms:created>
  <dc:creator>openpyxl</dc:creator>
  <dc:description/>
  <dc:language>en-US</dc:language>
  <cp:lastModifiedBy/>
  <dcterms:modified xsi:type="dcterms:W3CDTF">2026-10-22T16:15:31Z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