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lendário" sheetId="2" state="visible" r:id="rId4"/>
    <sheet name="Grade do dia" sheetId="3" state="visible" r:id="rId5"/>
    <sheet name="Blocos" sheetId="4" state="visible" r:id="rId6"/>
    <sheet name="Ciclo Cenário 2" sheetId="5" state="visible" r:id="rId7"/>
    <sheet name="Ciclo Cenário 1" sheetId="6" state="visible" r:id="rId8"/>
    <sheet name="Crianças" sheetId="7" state="visible" r:id="rId9"/>
    <sheet name="Serviços extras" sheetId="8" state="visible" r:id="rId10"/>
    <sheet name="Equipe e turn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<sst xmlns="http://schemas.openxmlformats.org/spreadsheetml/2006/main" count="3530" uniqueCount="831">
  <si>
    <t xml:space="preserve">Projeto de atendimento a crianças neurodivergentes – Agenda dos atendimentos</t>
  </si>
  <si>
    <t xml:space="preserve">Células em azul são premissas (editáveis); o restante é calculado.</t>
  </si>
  <si>
    <t xml:space="preserve">Premissa</t>
  </si>
  <si>
    <t xml:space="preserve">Valor</t>
  </si>
  <si>
    <t xml:space="preserve">Observação</t>
  </si>
  <si>
    <t xml:space="preserve">Dias de atendimento por ano</t>
  </si>
  <si>
    <t xml:space="preserve">Ver aba Calendário</t>
  </si>
  <si>
    <t xml:space="preserve">Horário de funcionamento</t>
  </si>
  <si>
    <t xml:space="preserve">07h–19h</t>
  </si>
  <si>
    <t xml:space="preserve">Seg–sex; almoço 12h–13h</t>
  </si>
  <si>
    <t xml:space="preserve">Formato das sessões</t>
  </si>
  <si>
    <t xml:space="preserve">4 × 30 min</t>
  </si>
  <si>
    <t xml:space="preserve">Formato C: todas de 30 min, horários seguidos, 2h por visita</t>
  </si>
  <si>
    <t xml:space="preserve">Sessões de terapia por criança a cada 4 semanas</t>
  </si>
  <si>
    <t xml:space="preserve">Decisão da gestora; xadrez, capoeira, oficinas, médicos e odonto são extras</t>
  </si>
  <si>
    <t xml:space="preserve">Sessões por visita</t>
  </si>
  <si>
    <t xml:space="preserve">3 ou 4 especialidades; modelo usa 4</t>
  </si>
  <si>
    <t xml:space="preserve">Visitas por criança a cada 4 semanas</t>
  </si>
  <si>
    <t xml:space="preserve">24 ÷ 4</t>
  </si>
  <si>
    <t xml:space="preserve">Ciclo da agenda (dias úteis)</t>
  </si>
  <si>
    <t xml:space="preserve">2 semanas: cada criança vem 3 vezes a cada 10 dias úteis</t>
  </si>
  <si>
    <t xml:space="preserve">Visitas por criança por ciclo</t>
  </si>
  <si>
    <t xml:space="preserve">3 visitas a cada 2 semanas = 6 a cada 4 semanas</t>
  </si>
  <si>
    <t xml:space="preserve">Blocos de visita por dia</t>
  </si>
  <si>
    <t xml:space="preserve">Comprovado por solver: 60 visitas/dia cabem com horários seguidos e vagas das salas</t>
  </si>
  <si>
    <t xml:space="preserve">Cenários (formato C)</t>
  </si>
  <si>
    <t xml:space="preserve">Indicador</t>
  </si>
  <si>
    <t xml:space="preserve">Cenário 1: 100% de ocupação</t>
  </si>
  <si>
    <t xml:space="preserve">Cenário 2: 90% (10% reposição)</t>
  </si>
  <si>
    <t xml:space="preserve">Crianças por bloco de visita</t>
  </si>
  <si>
    <t xml:space="preserve">Crianças com pacote completo</t>
  </si>
  <si>
    <t xml:space="preserve">Visitas por dia</t>
  </si>
  <si>
    <t xml:space="preserve">Blocos livres por dia (reposição)</t>
  </si>
  <si>
    <t xml:space="preserve">Ocupação dos blocos</t>
  </si>
  <si>
    <t xml:space="preserve">Sessões de 30 min por dia</t>
  </si>
  <si>
    <t xml:space="preserve">Sessões de terapia por ano</t>
  </si>
  <si>
    <t xml:space="preserve">Horário da criança</t>
  </si>
  <si>
    <t xml:space="preserve">180 fixas + 20 com horário variável</t>
  </si>
  <si>
    <t xml:space="preserve">Fixo: mesmo horário, sala e ordem sempre</t>
  </si>
  <si>
    <t xml:space="preserve">Notas</t>
  </si>
  <si>
    <t xml:space="preserve">Cenário 2: cada bloco de 2h atende 3 crianças em rodízio e fica livre 1 vez a cada 10 dias úteis, no mesmo horário e com os mesmos profissionais (vaga de reposição).</t>
  </si>
  <si>
    <t xml:space="preserve">Cenário 1: as mesmas 180 crianças fixas + 20 crianças flexíveis (F01–F20), que ocupam as vagas livres do Cenário 2. O horário das flexíveis varia entre visitas e não sobra vaga para reposição.</t>
  </si>
  <si>
    <t xml:space="preserve">Tetos teóricos calculados antes da grade (225 e 202 crianças) não foram obtidos na grade real; 63 ou mais visitas por dia não foram comprovadas nem descartadas.</t>
  </si>
  <si>
    <t xml:space="preserve">Pacotes-modelo (aba Grade do dia) são ilustrativos; a composição real depende da triagem. Todos têm pelo menos 2 entre Psicologia, TO e Fono.</t>
  </si>
  <si>
    <t xml:space="preserve">Mês de 18 dias (fev/2027) entrega menos de 6 visitas no calendário; o ciclo de 10 dias úteis garante 24 sessões a cada 4 semanas.</t>
  </si>
  <si>
    <t xml:space="preserve">Calendário de funcionamento – jul/2026 a jun/2027 (Aracaju/SE)</t>
  </si>
  <si>
    <t xml:space="preserve">Mês</t>
  </si>
  <si>
    <t xml:space="preserve">Dias de funcionamento</t>
  </si>
  <si>
    <t xml:space="preserve">Feriados descontados</t>
  </si>
  <si>
    <t xml:space="preserve">Jul/2026</t>
  </si>
  <si>
    <t xml:space="preserve">Data</t>
  </si>
  <si>
    <t xml:space="preserve">Dia</t>
  </si>
  <si>
    <t xml:space="preserve">Feriado</t>
  </si>
  <si>
    <t xml:space="preserve">Ago/2026</t>
  </si>
  <si>
    <t xml:space="preserve">08/07/2026</t>
  </si>
  <si>
    <t xml:space="preserve">Qua</t>
  </si>
  <si>
    <t xml:space="preserve">Emancipação Política de Sergipe (estadual)</t>
  </si>
  <si>
    <t xml:space="preserve">Set/2026</t>
  </si>
  <si>
    <t xml:space="preserve">07/09/2026</t>
  </si>
  <si>
    <t xml:space="preserve">Seg</t>
  </si>
  <si>
    <t xml:space="preserve">Independência (nacional)</t>
  </si>
  <si>
    <t xml:space="preserve">Out/2026</t>
  </si>
  <si>
    <t xml:space="preserve">12/10/2026</t>
  </si>
  <si>
    <t xml:space="preserve">N. Sra. Aparecida (nacional)</t>
  </si>
  <si>
    <t xml:space="preserve">Nov/2026</t>
  </si>
  <si>
    <t xml:space="preserve">02/11/2026</t>
  </si>
  <si>
    <t xml:space="preserve">Finados (nacional)</t>
  </si>
  <si>
    <t xml:space="preserve">Dez/2026</t>
  </si>
  <si>
    <t xml:space="preserve">20/11/2026</t>
  </si>
  <si>
    <t xml:space="preserve">Sex</t>
  </si>
  <si>
    <t xml:space="preserve">Consciência Negra (nacional)</t>
  </si>
  <si>
    <t xml:space="preserve">Jan/2027</t>
  </si>
  <si>
    <t xml:space="preserve">08/12/2026</t>
  </si>
  <si>
    <t xml:space="preserve">Ter</t>
  </si>
  <si>
    <t xml:space="preserve">N. Sra. da Conceição (municipal Aracaju) – conferir decreto</t>
  </si>
  <si>
    <t xml:space="preserve">Fev/2027</t>
  </si>
  <si>
    <t xml:space="preserve">25/12/2026</t>
  </si>
  <si>
    <t xml:space="preserve">Natal (nacional)</t>
  </si>
  <si>
    <t xml:space="preserve">Mar/2027</t>
  </si>
  <si>
    <t xml:space="preserve">01/01/2027</t>
  </si>
  <si>
    <t xml:space="preserve">Confraternização Universal (nacional)</t>
  </si>
  <si>
    <t xml:space="preserve">Abr/2027</t>
  </si>
  <si>
    <t xml:space="preserve">08/02/2027</t>
  </si>
  <si>
    <t xml:space="preserve">Carnaval (ponto facultativo)</t>
  </si>
  <si>
    <t xml:space="preserve">Mai/2027</t>
  </si>
  <si>
    <t xml:space="preserve">09/02/2027</t>
  </si>
  <si>
    <t xml:space="preserve">Jun/2027</t>
  </si>
  <si>
    <t xml:space="preserve">17/03/2027</t>
  </si>
  <si>
    <t xml:space="preserve">Aniversário de Aracaju (municipal)</t>
  </si>
  <si>
    <t xml:space="preserve">Total no ano</t>
  </si>
  <si>
    <t xml:space="preserve">26/03/2027</t>
  </si>
  <si>
    <t xml:space="preserve">Sexta-feira Santa (nacional)</t>
  </si>
  <si>
    <t xml:space="preserve">21/04/2027</t>
  </si>
  <si>
    <t xml:space="preserve">Tiradentes (nacional)</t>
  </si>
  <si>
    <t xml:space="preserve">Base: 261 dias úteis seg–sex no período, menos 15 feriados em dia útil. Itens marcados 'conferir decreto' dependem do decreto oficial da Prefeitura.</t>
  </si>
  <si>
    <t xml:space="preserve">27/05/2027</t>
  </si>
  <si>
    <t xml:space="preserve">Qui</t>
  </si>
  <si>
    <t xml:space="preserve">Corpus Christi (confirmado: sem atendimento)</t>
  </si>
  <si>
    <t xml:space="preserve">São João (24/06/2027) funciona? (S/N)</t>
  </si>
  <si>
    <t xml:space="preserve">N</t>
  </si>
  <si>
    <t xml:space="preserve">24/06/2027</t>
  </si>
  <si>
    <t xml:space="preserve">São João (municipal Aracaju) – EM ABERTO: ver célula B19</t>
  </si>
  <si>
    <t xml:space="preserve">Decisão em aberto: com 'N' o dia é descontado (246 dias); com 'S' o total passa para 247.</t>
  </si>
  <si>
    <t xml:space="preserve">Grade do dia (igual de segunda a sexta) – 60 blocos de visita</t>
  </si>
  <si>
    <t xml:space="preserve">Cada célula mostra o bloco (B01…B60) que ocupa aquela vaga naquele horário. Cor = pacote-modelo.</t>
  </si>
  <si>
    <t xml:space="preserve">Horário</t>
  </si>
  <si>
    <t xml:space="preserve">Psicologia
vaga 1</t>
  </si>
  <si>
    <t xml:space="preserve">Psicologia
vaga 2</t>
  </si>
  <si>
    <t xml:space="preserve">Terapia Ocupacional
vaga 1</t>
  </si>
  <si>
    <t xml:space="preserve">Terapia Ocupacional
vaga 2</t>
  </si>
  <si>
    <t xml:space="preserve">Fonoaudiologia
vaga 1</t>
  </si>
  <si>
    <t xml:space="preserve">Fonoaudiologia
vaga 2</t>
  </si>
  <si>
    <t xml:space="preserve">Psicopedagogia
vaga 1</t>
  </si>
  <si>
    <t xml:space="preserve">Psicopedagogia
vaga 2</t>
  </si>
  <si>
    <t xml:space="preserve">Psicomotricidade
vaga 1</t>
  </si>
  <si>
    <t xml:space="preserve">Psicomotricidade
vaga 2</t>
  </si>
  <si>
    <t xml:space="preserve">Musicoterapia</t>
  </si>
  <si>
    <t xml:space="preserve">Terapia alimentar
vaga 1</t>
  </si>
  <si>
    <t xml:space="preserve">Terapia alimentar
vaga 2</t>
  </si>
  <si>
    <t xml:space="preserve">07:00–07:30</t>
  </si>
  <si>
    <t xml:space="preserve">B01</t>
  </si>
  <si>
    <t xml:space="preserve">B04</t>
  </si>
  <si>
    <t xml:space="preserve">B02</t>
  </si>
  <si>
    <t xml:space="preserve">B05</t>
  </si>
  <si>
    <t xml:space="preserve">B06</t>
  </si>
  <si>
    <t xml:space="preserve">B03</t>
  </si>
  <si>
    <t xml:space="preserve">07:30–08:00</t>
  </si>
  <si>
    <t xml:space="preserve">B08</t>
  </si>
  <si>
    <t xml:space="preserve">B07</t>
  </si>
  <si>
    <t xml:space="preserve">08:00–08:30</t>
  </si>
  <si>
    <t xml:space="preserve">B09</t>
  </si>
  <si>
    <t xml:space="preserve">B10</t>
  </si>
  <si>
    <t xml:space="preserve">B12</t>
  </si>
  <si>
    <t xml:space="preserve">B13</t>
  </si>
  <si>
    <t xml:space="preserve">B11</t>
  </si>
  <si>
    <t xml:space="preserve">08:30–09:00</t>
  </si>
  <si>
    <t xml:space="preserve">09:00–09:30</t>
  </si>
  <si>
    <t xml:space="preserve">B15</t>
  </si>
  <si>
    <t xml:space="preserve">B14</t>
  </si>
  <si>
    <t xml:space="preserve">B16</t>
  </si>
  <si>
    <t xml:space="preserve">09:30–10:00</t>
  </si>
  <si>
    <t xml:space="preserve">B18</t>
  </si>
  <si>
    <t xml:space="preserve">B17</t>
  </si>
  <si>
    <t xml:space="preserve">10:00–10:30</t>
  </si>
  <si>
    <t xml:space="preserve">B21</t>
  </si>
  <si>
    <t xml:space="preserve">B24</t>
  </si>
  <si>
    <t xml:space="preserve">B23</t>
  </si>
  <si>
    <t xml:space="preserve">B22</t>
  </si>
  <si>
    <t xml:space="preserve">B19</t>
  </si>
  <si>
    <t xml:space="preserve">B20</t>
  </si>
  <si>
    <t xml:space="preserve">B26</t>
  </si>
  <si>
    <t xml:space="preserve">B25</t>
  </si>
  <si>
    <t xml:space="preserve">10:30–11:00</t>
  </si>
  <si>
    <t xml:space="preserve">11:00–11:30</t>
  </si>
  <si>
    <t xml:space="preserve">11:30–12:00</t>
  </si>
  <si>
    <t xml:space="preserve">Almoço</t>
  </si>
  <si>
    <t xml:space="preserve">13:00–13:30</t>
  </si>
  <si>
    <t xml:space="preserve">B31</t>
  </si>
  <si>
    <t xml:space="preserve">B33</t>
  </si>
  <si>
    <t xml:space="preserve">B27</t>
  </si>
  <si>
    <t xml:space="preserve">B28</t>
  </si>
  <si>
    <t xml:space="preserve">B29</t>
  </si>
  <si>
    <t xml:space="preserve">B34</t>
  </si>
  <si>
    <t xml:space="preserve">B30</t>
  </si>
  <si>
    <t xml:space="preserve">B32</t>
  </si>
  <si>
    <t xml:space="preserve">13:30–14:00</t>
  </si>
  <si>
    <t xml:space="preserve">B35</t>
  </si>
  <si>
    <t xml:space="preserve">14:00–14:30</t>
  </si>
  <si>
    <t xml:space="preserve">B37</t>
  </si>
  <si>
    <t xml:space="preserve">B36</t>
  </si>
  <si>
    <t xml:space="preserve">B38</t>
  </si>
  <si>
    <t xml:space="preserve">14:30–15:00</t>
  </si>
  <si>
    <t xml:space="preserve">B39</t>
  </si>
  <si>
    <t xml:space="preserve">15:00–15:30</t>
  </si>
  <si>
    <t xml:space="preserve">B40</t>
  </si>
  <si>
    <t xml:space="preserve">B46</t>
  </si>
  <si>
    <t xml:space="preserve">B43</t>
  </si>
  <si>
    <t xml:space="preserve">B47</t>
  </si>
  <si>
    <t xml:space="preserve">B41</t>
  </si>
  <si>
    <t xml:space="preserve">B45</t>
  </si>
  <si>
    <t xml:space="preserve">B44</t>
  </si>
  <si>
    <t xml:space="preserve">B42</t>
  </si>
  <si>
    <t xml:space="preserve">15:30–16:00</t>
  </si>
  <si>
    <t xml:space="preserve">16:00–16:30</t>
  </si>
  <si>
    <t xml:space="preserve">B49</t>
  </si>
  <si>
    <t xml:space="preserve">B48</t>
  </si>
  <si>
    <t xml:space="preserve">16:30–17:00</t>
  </si>
  <si>
    <t xml:space="preserve">B51</t>
  </si>
  <si>
    <t xml:space="preserve">B50</t>
  </si>
  <si>
    <t xml:space="preserve">17:00–17:30</t>
  </si>
  <si>
    <t xml:space="preserve">B56</t>
  </si>
  <si>
    <t xml:space="preserve">B52</t>
  </si>
  <si>
    <t xml:space="preserve">B58</t>
  </si>
  <si>
    <t xml:space="preserve">B54</t>
  </si>
  <si>
    <t xml:space="preserve">B57</t>
  </si>
  <si>
    <t xml:space="preserve">B59</t>
  </si>
  <si>
    <t xml:space="preserve">B55</t>
  </si>
  <si>
    <t xml:space="preserve">B53</t>
  </si>
  <si>
    <t xml:space="preserve">B60</t>
  </si>
  <si>
    <t xml:space="preserve">17:30–18:00</t>
  </si>
  <si>
    <t xml:space="preserve">18:00–18:30</t>
  </si>
  <si>
    <t xml:space="preserve">18:30–19:00</t>
  </si>
  <si>
    <t xml:space="preserve">Pacotes-modelo</t>
  </si>
  <si>
    <t xml:space="preserve">Pacote 1</t>
  </si>
  <si>
    <t xml:space="preserve">Psicologia, Terapia Ocupacional, Psicopedagogia, Psicomotricidade</t>
  </si>
  <si>
    <t xml:space="preserve">12 blocos/dia</t>
  </si>
  <si>
    <t xml:space="preserve">Pacote 2</t>
  </si>
  <si>
    <t xml:space="preserve">Psicologia, Fonoaudiologia, Psicopedagogia, Terapia alimentar</t>
  </si>
  <si>
    <t xml:space="preserve">Pacote 3</t>
  </si>
  <si>
    <t xml:space="preserve">Terapia Ocupacional, Fonoaudiologia, Psicopedagogia, Musicoterapia</t>
  </si>
  <si>
    <t xml:space="preserve">9 blocos/dia</t>
  </si>
  <si>
    <t xml:space="preserve">Pacote 4</t>
  </si>
  <si>
    <t xml:space="preserve">Psicologia, Terapia Ocupacional, Psicomotricidade, Terapia alimentar</t>
  </si>
  <si>
    <t xml:space="preserve">Pacote 5</t>
  </si>
  <si>
    <t xml:space="preserve">Psicologia, Fonoaudiologia, Psicomotricidade, Musicoterapia</t>
  </si>
  <si>
    <t xml:space="preserve">Pacote 6</t>
  </si>
  <si>
    <t xml:space="preserve">Terapia Ocupacional, Fonoaudiologia, Psicomotricidade, Terapia alimentar</t>
  </si>
  <si>
    <t xml:space="preserve">Blocos de visita: horários e salas</t>
  </si>
  <si>
    <t xml:space="preserve">Bloco</t>
  </si>
  <si>
    <t xml:space="preserve">Pacote</t>
  </si>
  <si>
    <t xml:space="preserve">Início</t>
  </si>
  <si>
    <t xml:space="preserve">Fim</t>
  </si>
  <si>
    <t xml:space="preserve">1ª sessão</t>
  </si>
  <si>
    <t xml:space="preserve">2ª sessão</t>
  </si>
  <si>
    <t xml:space="preserve">3ª sessão</t>
  </si>
  <si>
    <t xml:space="preserve">4ª sessão</t>
  </si>
  <si>
    <t xml:space="preserve">07:00</t>
  </si>
  <si>
    <t xml:space="preserve">09:00</t>
  </si>
  <si>
    <t xml:space="preserve">07:00 Psicologia</t>
  </si>
  <si>
    <t xml:space="preserve">07:30 Terapia alimentar</t>
  </si>
  <si>
    <t xml:space="preserve">08:00 Psicopedagogia</t>
  </si>
  <si>
    <t xml:space="preserve">08:30 Fonoaudiologia</t>
  </si>
  <si>
    <t xml:space="preserve">07:00 Fonoaudiologia</t>
  </si>
  <si>
    <t xml:space="preserve">07:30 Psicologia</t>
  </si>
  <si>
    <t xml:space="preserve">08:00 Terapia alimentar</t>
  </si>
  <si>
    <t xml:space="preserve">08:30 Psicopedagogia</t>
  </si>
  <si>
    <t xml:space="preserve">07:00 Terapia alimentar</t>
  </si>
  <si>
    <t xml:space="preserve">07:30 Fonoaudiologia</t>
  </si>
  <si>
    <t xml:space="preserve">08:30 Psicologia</t>
  </si>
  <si>
    <t xml:space="preserve">07:00 Terapia Ocupacional</t>
  </si>
  <si>
    <t xml:space="preserve">08:00 Fonoaudiologia</t>
  </si>
  <si>
    <t xml:space="preserve">08:30 Psicomotricidade</t>
  </si>
  <si>
    <t xml:space="preserve">07:00 Psicomotricidade</t>
  </si>
  <si>
    <t xml:space="preserve">07:30 Terapia Ocupacional</t>
  </si>
  <si>
    <t xml:space="preserve">08:30 Terapia alimentar</t>
  </si>
  <si>
    <t xml:space="preserve">08:00 Terapia Ocupacional</t>
  </si>
  <si>
    <t xml:space="preserve">07:30</t>
  </si>
  <si>
    <t xml:space="preserve">09:30</t>
  </si>
  <si>
    <t xml:space="preserve">07:30 Musicoterapia</t>
  </si>
  <si>
    <t xml:space="preserve">09:00 Psicopedagogia</t>
  </si>
  <si>
    <t xml:space="preserve">09:00 Fonoaudiologia</t>
  </si>
  <si>
    <t xml:space="preserve">08:00</t>
  </si>
  <si>
    <t xml:space="preserve">10:00</t>
  </si>
  <si>
    <t xml:space="preserve">08:00 Psicologia</t>
  </si>
  <si>
    <t xml:space="preserve">08:30 Terapia Ocupacional</t>
  </si>
  <si>
    <t xml:space="preserve">09:00 Psicomotricidade</t>
  </si>
  <si>
    <t xml:space="preserve">09:30 Psicopedagogia</t>
  </si>
  <si>
    <t xml:space="preserve">09:00 Terapia Ocupacional</t>
  </si>
  <si>
    <t xml:space="preserve">09:30 Psicomotricidade</t>
  </si>
  <si>
    <t xml:space="preserve">08:00 Musicoterapia</t>
  </si>
  <si>
    <t xml:space="preserve">09:30 Fonoaudiologia</t>
  </si>
  <si>
    <t xml:space="preserve">08:00 Psicomotricidade</t>
  </si>
  <si>
    <t xml:space="preserve">08:30 Musicoterapia</t>
  </si>
  <si>
    <t xml:space="preserve">09:00 Psicologia</t>
  </si>
  <si>
    <t xml:space="preserve">09:30 Musicoterapia</t>
  </si>
  <si>
    <t xml:space="preserve">11:00</t>
  </si>
  <si>
    <t xml:space="preserve">09:30 Psicologia</t>
  </si>
  <si>
    <t xml:space="preserve">10:00 Psicopedagogia</t>
  </si>
  <si>
    <t xml:space="preserve">10:30 Psicomotricidade</t>
  </si>
  <si>
    <t xml:space="preserve">10:00 Musicoterapia</t>
  </si>
  <si>
    <t xml:space="preserve">10:30 Fonoaudiologia</t>
  </si>
  <si>
    <t xml:space="preserve">09:30 Terapia alimentar</t>
  </si>
  <si>
    <t xml:space="preserve">10:00 Terapia Ocupacional</t>
  </si>
  <si>
    <t xml:space="preserve">11:30</t>
  </si>
  <si>
    <t xml:space="preserve">10:00 Fonoaudiologia</t>
  </si>
  <si>
    <t xml:space="preserve">10:30 Psicopedagogia</t>
  </si>
  <si>
    <t xml:space="preserve">11:00 Psicologia</t>
  </si>
  <si>
    <t xml:space="preserve">10:00 Terapia alimentar</t>
  </si>
  <si>
    <t xml:space="preserve">10:30 Terapia Ocupacional</t>
  </si>
  <si>
    <t xml:space="preserve">11:00 Psicomotricidade</t>
  </si>
  <si>
    <t xml:space="preserve">12:00</t>
  </si>
  <si>
    <t xml:space="preserve">10:30 Psicologia</t>
  </si>
  <si>
    <t xml:space="preserve">11:00 Terapia Ocupacional</t>
  </si>
  <si>
    <t xml:space="preserve">11:30 Psicomotricidade</t>
  </si>
  <si>
    <t xml:space="preserve">10:00 Psicomotricidade</t>
  </si>
  <si>
    <t xml:space="preserve">11:30 Psicopedagogia</t>
  </si>
  <si>
    <t xml:space="preserve">10:00 Psicologia</t>
  </si>
  <si>
    <t xml:space="preserve">10:30 Terapia alimentar</t>
  </si>
  <si>
    <t xml:space="preserve">11:00 Fonoaudiologia</t>
  </si>
  <si>
    <t xml:space="preserve">11:00 Psicopedagogia</t>
  </si>
  <si>
    <t xml:space="preserve">11:30 Terapia alimentar</t>
  </si>
  <si>
    <t xml:space="preserve">11:00 Musicoterapia</t>
  </si>
  <si>
    <t xml:space="preserve">11:30 Fonoaudiologia</t>
  </si>
  <si>
    <t xml:space="preserve">11:30 Terapia Ocupacional</t>
  </si>
  <si>
    <t xml:space="preserve">11:30 Psicologia</t>
  </si>
  <si>
    <t xml:space="preserve">10:30 Musicoterapia</t>
  </si>
  <si>
    <t xml:space="preserve">13:00</t>
  </si>
  <si>
    <t xml:space="preserve">15:00</t>
  </si>
  <si>
    <t xml:space="preserve">13:00 Terapia Ocupacional</t>
  </si>
  <si>
    <t xml:space="preserve">13:30 Psicologia</t>
  </si>
  <si>
    <t xml:space="preserve">14:00 Psicomotricidade</t>
  </si>
  <si>
    <t xml:space="preserve">14:30 Psicopedagogia</t>
  </si>
  <si>
    <t xml:space="preserve">13:30 Psicomotricidade</t>
  </si>
  <si>
    <t xml:space="preserve">14:00 Psicopedagogia</t>
  </si>
  <si>
    <t xml:space="preserve">14:30 Psicologia</t>
  </si>
  <si>
    <t xml:space="preserve">13:00 Psicopedagogia</t>
  </si>
  <si>
    <t xml:space="preserve">13:30 Fonoaudiologia</t>
  </si>
  <si>
    <t xml:space="preserve">14:00 Musicoterapia</t>
  </si>
  <si>
    <t xml:space="preserve">14:30 Terapia Ocupacional</t>
  </si>
  <si>
    <t xml:space="preserve">13:00 Musicoterapia</t>
  </si>
  <si>
    <t xml:space="preserve">13:30 Psicopedagogia</t>
  </si>
  <si>
    <t xml:space="preserve">14:00 Terapia Ocupacional</t>
  </si>
  <si>
    <t xml:space="preserve">14:30 Fonoaudiologia</t>
  </si>
  <si>
    <t xml:space="preserve">13:00 Psicologia</t>
  </si>
  <si>
    <t xml:space="preserve">14:30 Terapia alimentar</t>
  </si>
  <si>
    <t xml:space="preserve">13:00 Terapia alimentar</t>
  </si>
  <si>
    <t xml:space="preserve">13:30 Terapia Ocupacional</t>
  </si>
  <si>
    <t xml:space="preserve">14:00 Psicologia</t>
  </si>
  <si>
    <t xml:space="preserve">14:30 Psicomotricidade</t>
  </si>
  <si>
    <t xml:space="preserve">14:00 Terapia alimentar</t>
  </si>
  <si>
    <t xml:space="preserve">13:00 Psicomotricidade</t>
  </si>
  <si>
    <t xml:space="preserve">14:00 Fonoaudiologia</t>
  </si>
  <si>
    <t xml:space="preserve">14:30 Musicoterapia</t>
  </si>
  <si>
    <t xml:space="preserve">13:30</t>
  </si>
  <si>
    <t xml:space="preserve">15:30</t>
  </si>
  <si>
    <t xml:space="preserve">15:00 Psicologia</t>
  </si>
  <si>
    <t xml:space="preserve">14:00</t>
  </si>
  <si>
    <t xml:space="preserve">16:00</t>
  </si>
  <si>
    <t xml:space="preserve">15:00 Psicomotricidade</t>
  </si>
  <si>
    <t xml:space="preserve">15:30 Psicologia</t>
  </si>
  <si>
    <t xml:space="preserve">15:00 Terapia Ocupacional</t>
  </si>
  <si>
    <t xml:space="preserve">15:30 Psicomotricidade</t>
  </si>
  <si>
    <t xml:space="preserve">15:00 Terapia alimentar</t>
  </si>
  <si>
    <t xml:space="preserve">15:30 Terapia Ocupacional</t>
  </si>
  <si>
    <t xml:space="preserve">14:30</t>
  </si>
  <si>
    <t xml:space="preserve">16:30</t>
  </si>
  <si>
    <t xml:space="preserve">15:00 Psicopedagogia</t>
  </si>
  <si>
    <t xml:space="preserve">15:30 Musicoterapia</t>
  </si>
  <si>
    <t xml:space="preserve">16:00 Terapia Ocupacional</t>
  </si>
  <si>
    <t xml:space="preserve">17:00</t>
  </si>
  <si>
    <t xml:space="preserve">15:30 Psicopedagogia</t>
  </si>
  <si>
    <t xml:space="preserve">16:00 Psicomotricidade</t>
  </si>
  <si>
    <t xml:space="preserve">16:30 Terapia Ocupacional</t>
  </si>
  <si>
    <t xml:space="preserve">16:00 Psicologia</t>
  </si>
  <si>
    <t xml:space="preserve">16:30 Psicomotricidade</t>
  </si>
  <si>
    <t xml:space="preserve">16:00 Fonoaudiologia</t>
  </si>
  <si>
    <t xml:space="preserve">16:30 Psicopedagogia</t>
  </si>
  <si>
    <t xml:space="preserve">15:00 Fonoaudiologia</t>
  </si>
  <si>
    <t xml:space="preserve">16:30 Musicoterapia</t>
  </si>
  <si>
    <t xml:space="preserve">15:00 Musicoterapia</t>
  </si>
  <si>
    <t xml:space="preserve">16:30 Fonoaudiologia</t>
  </si>
  <si>
    <t xml:space="preserve">15:30 Fonoaudiologia</t>
  </si>
  <si>
    <t xml:space="preserve">16:00 Musicoterapia</t>
  </si>
  <si>
    <t xml:space="preserve">16:30 Psicologia</t>
  </si>
  <si>
    <t xml:space="preserve">16:00 Terapia alimentar</t>
  </si>
  <si>
    <t xml:space="preserve">15:30 Terapia alimentar</t>
  </si>
  <si>
    <t xml:space="preserve">18:00</t>
  </si>
  <si>
    <t xml:space="preserve">16:00 Psicopedagogia</t>
  </si>
  <si>
    <t xml:space="preserve">17:00 Terapia Ocupacional</t>
  </si>
  <si>
    <t xml:space="preserve">17:30 Psicomotricidade</t>
  </si>
  <si>
    <t xml:space="preserve">16:30 Terapia alimentar</t>
  </si>
  <si>
    <t xml:space="preserve">17:00 Psicologia</t>
  </si>
  <si>
    <t xml:space="preserve">17:30 Psicopedagogia</t>
  </si>
  <si>
    <t xml:space="preserve">18:30</t>
  </si>
  <si>
    <t xml:space="preserve">18:00 Psicologia</t>
  </si>
  <si>
    <t xml:space="preserve">17:00 Psicopedagogia</t>
  </si>
  <si>
    <t xml:space="preserve">17:30 Terapia alimentar</t>
  </si>
  <si>
    <t xml:space="preserve">19:00</t>
  </si>
  <si>
    <t xml:space="preserve">17:00 Fonoaudiologia</t>
  </si>
  <si>
    <t xml:space="preserve">18:00 Psicopedagogia</t>
  </si>
  <si>
    <t xml:space="preserve">18:30 Psicologia</t>
  </si>
  <si>
    <t xml:space="preserve">17:00 Terapia alimentar</t>
  </si>
  <si>
    <t xml:space="preserve">17:30 Psicologia</t>
  </si>
  <si>
    <t xml:space="preserve">18:00 Fonoaudiologia</t>
  </si>
  <si>
    <t xml:space="preserve">18:30 Psicopedagogia</t>
  </si>
  <si>
    <t xml:space="preserve">17:30 Musicoterapia</t>
  </si>
  <si>
    <t xml:space="preserve">18:00 Terapia Ocupacional</t>
  </si>
  <si>
    <t xml:space="preserve">18:30 Fonoaudiologia</t>
  </si>
  <si>
    <t xml:space="preserve">17:00 Musicoterapia</t>
  </si>
  <si>
    <t xml:space="preserve">18:30 Terapia Ocupacional</t>
  </si>
  <si>
    <t xml:space="preserve">17:30 Terapia Ocupacional</t>
  </si>
  <si>
    <t xml:space="preserve">18:00 Terapia alimentar</t>
  </si>
  <si>
    <t xml:space="preserve">18:30 Psicomotricidade</t>
  </si>
  <si>
    <t xml:space="preserve">17:00 Psicomotricidade</t>
  </si>
  <si>
    <t xml:space="preserve">17:30 Fonoaudiologia</t>
  </si>
  <si>
    <t xml:space="preserve">18:00 Musicoterapia</t>
  </si>
  <si>
    <t xml:space="preserve">18:00 Psicomotricidade</t>
  </si>
  <si>
    <t xml:space="preserve">18:30 Musicoterapia</t>
  </si>
  <si>
    <t xml:space="preserve">Cenário 2: quem ocupa cada bloco em cada dia do ciclo (10 dias úteis)</t>
  </si>
  <si>
    <t xml:space="preserve">Cada criança (C001–C180) vem 3 vezes por ciclo, sempre no mesmo bloco. 'livre' = vaga de reposição daquele horário. Trocar C### pelo nome real.</t>
  </si>
  <si>
    <t xml:space="preserve">Seg S1</t>
  </si>
  <si>
    <t xml:space="preserve">Ter S1</t>
  </si>
  <si>
    <t xml:space="preserve">Qua S1</t>
  </si>
  <si>
    <t xml:space="preserve">Qui S1</t>
  </si>
  <si>
    <t xml:space="preserve">Sex S1</t>
  </si>
  <si>
    <t xml:space="preserve">Seg S2</t>
  </si>
  <si>
    <t xml:space="preserve">Ter S2</t>
  </si>
  <si>
    <t xml:space="preserve">Qua S2</t>
  </si>
  <si>
    <t xml:space="preserve">Qui S2</t>
  </si>
  <si>
    <t xml:space="preserve">Sex S2</t>
  </si>
  <si>
    <t xml:space="preserve">livre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</si>
  <si>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</si>
  <si>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</si>
  <si>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</si>
  <si>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</si>
  <si>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</si>
  <si>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</si>
  <si>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C009</t>
  </si>
  <si>
    <t xml:space="preserve">C007</t>
  </si>
  <si>
    <t xml:space="preserve">C008</t>
  </si>
  <si>
    <t xml:space="preserve">C010</t>
  </si>
  <si>
    <t xml:space="preserve">C011</t>
  </si>
  <si>
    <t xml:space="preserve">C012</t>
  </si>
  <si>
    <t xml:space="preserve">C014</t>
  </si>
  <si>
    <t xml:space="preserve">C015</t>
  </si>
  <si>
    <t xml:space="preserve">C013</t>
  </si>
  <si>
    <t xml:space="preserve">C017</t>
  </si>
  <si>
    <t xml:space="preserve">C018</t>
  </si>
  <si>
    <t xml:space="preserve">C016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</si>
  <si>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</si>
  <si>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</si>
  <si>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</si>
  <si>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</si>
  <si>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</si>
  <si>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</si>
  <si>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</si>
  <si>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</si>
  <si>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</si>
  <si>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</si>
  <si>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</si>
  <si>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</si>
  <si>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C032</t>
  </si>
  <si>
    <t xml:space="preserve">C033</t>
  </si>
  <si>
    <t xml:space="preserve">C031</t>
  </si>
  <si>
    <t xml:space="preserve">C034</t>
  </si>
  <si>
    <t xml:space="preserve">C035</t>
  </si>
  <si>
    <t xml:space="preserve">C036</t>
  </si>
  <si>
    <t xml:space="preserve">C038</t>
  </si>
  <si>
    <t xml:space="preserve">C039</t>
  </si>
  <si>
    <t xml:space="preserve">C037</t>
  </si>
  <si>
    <t xml:space="preserve">C041</t>
  </si>
  <si>
    <t xml:space="preserve">C042</t>
  </si>
  <si>
    <t xml:space="preserve">C040</t>
  </si>
  <si>
    <t xml:space="preserve">C043</t>
  </si>
  <si>
    <t xml:space="preserve">C044</t>
  </si>
  <si>
    <t xml:space="preserve">C045</t>
  </si>
  <si>
    <t xml:space="preserve">C048</t>
  </si>
  <si>
    <t xml:space="preserve">C046</t>
  </si>
  <si>
    <t xml:space="preserve">C047</t>
  </si>
  <si>
    <t xml:space="preserve">C051</t>
  </si>
  <si>
    <t xml:space="preserve">C049</t>
  </si>
  <si>
    <t xml:space="preserve">C050</t>
  </si>
  <si>
    <t xml:space="preserve">C054</t>
  </si>
  <si>
    <t xml:space="preserve">C052</t>
  </si>
  <si>
    <t xml:space="preserve">C053</t>
  </si>
  <si>
    <t xml:space="preserve">C057</t>
  </si>
  <si>
    <t xml:space="preserve">C055</t>
  </si>
  <si>
    <t xml:space="preserve">C056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</si>
  <si>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</si>
  <si>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</si>
  <si>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</si>
  <si>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</si>
  <si>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</si>
  <si>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</si>
  <si>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</si>
  <si>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</si>
  <si>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</si>
  <si>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C068</t>
  </si>
  <si>
    <t xml:space="preserve">C069</t>
  </si>
  <si>
    <t xml:space="preserve">C067</t>
  </si>
  <si>
    <t xml:space="preserve">C071</t>
  </si>
  <si>
    <t xml:space="preserve">C072</t>
  </si>
  <si>
    <t xml:space="preserve">C070</t>
  </si>
  <si>
    <t xml:space="preserve">C073</t>
  </si>
  <si>
    <t xml:space="preserve">C074</t>
  </si>
  <si>
    <t xml:space="preserve">C075</t>
  </si>
  <si>
    <t xml:space="preserve">C078</t>
  </si>
  <si>
    <t xml:space="preserve">C076</t>
  </si>
  <si>
    <t xml:space="preserve">C077</t>
  </si>
  <si>
    <t xml:space="preserve">C079</t>
  </si>
  <si>
    <t xml:space="preserve">C080</t>
  </si>
  <si>
    <t xml:space="preserve">C081</t>
  </si>
  <si>
    <t xml:space="preserve">C083</t>
  </si>
  <si>
    <t xml:space="preserve">C084</t>
  </si>
  <si>
    <t xml:space="preserve">C082</t>
  </si>
  <si>
    <t xml:space="preserve">C085</t>
  </si>
  <si>
    <t xml:space="preserve">C086</t>
  </si>
  <si>
    <t xml:space="preserve">C087</t>
  </si>
  <si>
    <t xml:space="preserve">C090</t>
  </si>
  <si>
    <t xml:space="preserve">C088</t>
  </si>
  <si>
    <t xml:space="preserve">C089</t>
  </si>
  <si>
    <t xml:space="preserve">C093</t>
  </si>
  <si>
    <t xml:space="preserve">C091</t>
  </si>
  <si>
    <t xml:space="preserve">C092</t>
  </si>
  <si>
    <t xml:space="preserve">C095</t>
  </si>
  <si>
    <t xml:space="preserve">C096</t>
  </si>
  <si>
    <t xml:space="preserve">C094</t>
  </si>
  <si>
    <t xml:space="preserve">C097</t>
  </si>
  <si>
    <t xml:space="preserve">C098</t>
  </si>
  <si>
    <t xml:space="preserve">C099</t>
  </si>
  <si>
    <t xml:space="preserve">C102</t>
  </si>
  <si>
    <t xml:space="preserve">C100</t>
  </si>
  <si>
    <t xml:space="preserve">C101</t>
  </si>
  <si>
    <t xml:space="preserve">C104</t>
  </si>
  <si>
    <t xml:space="preserve">C105</t>
  </si>
  <si>
    <t xml:space="preserve">C103</t>
  </si>
  <si>
    <t xml:space="preserve">C108</t>
  </si>
  <si>
    <t xml:space="preserve">C106</t>
  </si>
  <si>
    <t xml:space="preserve">C107</t>
  </si>
  <si>
    <t xml:space="preserve">C111</t>
  </si>
  <si>
    <t xml:space="preserve">C109</t>
  </si>
  <si>
    <t xml:space="preserve">C110</t>
  </si>
  <si>
    <t xml:space="preserve">C113</t>
  </si>
  <si>
    <t xml:space="preserve">C114</t>
  </si>
  <si>
    <t xml:space="preserve">C112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</si>
  <si>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</si>
  <si>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</si>
  <si>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</si>
  <si>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</si>
  <si>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</si>
  <si>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</si>
  <si>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</si>
  <si>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</si>
  <si>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</si>
  <si>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</si>
  <si>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</si>
  <si>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</si>
  <si>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</si>
  <si>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</si>
  <si>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</si>
  <si>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</si>
  <si>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</si>
  <si>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</si>
  <si>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C135</t>
  </si>
  <si>
    <t xml:space="preserve">C133</t>
  </si>
  <si>
    <t xml:space="preserve">C134</t>
  </si>
  <si>
    <t xml:space="preserve">C136</t>
  </si>
  <si>
    <t xml:space="preserve">C137</t>
  </si>
  <si>
    <t xml:space="preserve">C138</t>
  </si>
  <si>
    <t xml:space="preserve">C141</t>
  </si>
  <si>
    <t xml:space="preserve">C139</t>
  </si>
  <si>
    <t xml:space="preserve">C140</t>
  </si>
  <si>
    <t xml:space="preserve">C143</t>
  </si>
  <si>
    <t xml:space="preserve">C144</t>
  </si>
  <si>
    <t xml:space="preserve">C142</t>
  </si>
  <si>
    <t xml:space="preserve">C147</t>
  </si>
  <si>
    <t xml:space="preserve">C145</t>
  </si>
  <si>
    <t xml:space="preserve">C146</t>
  </si>
  <si>
    <t xml:space="preserve">C150</t>
  </si>
  <si>
    <t xml:space="preserve">C148</t>
  </si>
  <si>
    <t xml:space="preserve">C149</t>
  </si>
  <si>
    <t xml:space="preserve">C152</t>
  </si>
  <si>
    <t xml:space="preserve">C153</t>
  </si>
  <si>
    <t xml:space="preserve">C151</t>
  </si>
  <si>
    <t xml:space="preserve">C155</t>
  </si>
  <si>
    <t xml:space="preserve">C156</t>
  </si>
  <si>
    <t xml:space="preserve">C154</t>
  </si>
  <si>
    <t xml:space="preserve">C159</t>
  </si>
  <si>
    <t xml:space="preserve">C157</t>
  </si>
  <si>
    <t xml:space="preserve">C158</t>
  </si>
  <si>
    <t xml:space="preserve">C162</t>
  </si>
  <si>
    <t xml:space="preserve">C160</t>
  </si>
  <si>
    <t xml:space="preserve">C161</t>
  </si>
  <si>
    <t xml:space="preserve">C164</t>
  </si>
  <si>
    <t xml:space="preserve">C165</t>
  </si>
  <si>
    <t xml:space="preserve">C163</t>
  </si>
  <si>
    <t xml:space="preserve">C166</t>
  </si>
  <si>
    <t xml:space="preserve">C167</t>
  </si>
  <si>
    <t xml:space="preserve">C168</t>
  </si>
  <si>
    <t xml:space="preserve">C170</t>
  </si>
  <si>
    <t xml:space="preserve">C171</t>
  </si>
  <si>
    <t xml:space="preserve">C169</t>
  </si>
  <si>
    <t xml:space="preserve">C173</t>
  </si>
  <si>
    <t xml:space="preserve">C174</t>
  </si>
  <si>
    <t xml:space="preserve">C172</t>
  </si>
  <si>
    <t xml:space="preserve">C177</t>
  </si>
  <si>
    <t xml:space="preserve">C175</t>
  </si>
  <si>
    <t xml:space="preserve">C176</t>
  </si>
  <si>
    <t xml:space="preserve">C179</t>
  </si>
  <si>
    <t xml:space="preserve">C180</t>
  </si>
  <si>
    <t xml:space="preserve">C178</t>
  </si>
  <si>
    <t xml:space="preserve">Cenário 1: ocupação de 100%. Quem ocupa cada bloco em cada dia do ciclo (10 dias úteis)</t>
  </si>
  <si>
    <t xml:space="preserve">C001–C180: crianças fixas (mesmo horário sempre). F01–F20: crianças flexíveis, que ocupam as vagas que no Cenário 2 ficam livres para reposição.</t>
  </si>
  <si>
    <t xml:space="preserve">F05</t>
  </si>
  <si>
    <t xml:space="preserve">F07</t>
  </si>
  <si>
    <t xml:space="preserve">F06</t>
  </si>
  <si>
    <t xml:space="preserve">F18</t>
  </si>
  <si>
    <t xml:space="preserve">F19</t>
  </si>
  <si>
    <t xml:space="preserve">F20</t>
  </si>
  <si>
    <t xml:space="preserve">F11</t>
  </si>
  <si>
    <t xml:space="preserve">F01</t>
  </si>
  <si>
    <t xml:space="preserve">F09</t>
  </si>
  <si>
    <t xml:space="preserve">F15</t>
  </si>
  <si>
    <t xml:space="preserve">F16</t>
  </si>
  <si>
    <t xml:space="preserve">F03</t>
  </si>
  <si>
    <t xml:space="preserve">F17</t>
  </si>
  <si>
    <t xml:space="preserve">F12</t>
  </si>
  <si>
    <t xml:space="preserve">F02</t>
  </si>
  <si>
    <t xml:space="preserve">F08</t>
  </si>
  <si>
    <t xml:space="preserve">F10</t>
  </si>
  <si>
    <t xml:space="preserve">F13</t>
  </si>
  <si>
    <t xml:space="preserve">F14</t>
  </si>
  <si>
    <t xml:space="preserve">F04</t>
  </si>
  <si>
    <t xml:space="preserve">Lista de vagas de criança (substituir o código pelo nome)</t>
  </si>
  <si>
    <t xml:space="preserve">Código</t>
  </si>
  <si>
    <t xml:space="preserve">Tipo</t>
  </si>
  <si>
    <t xml:space="preserve">Cenários</t>
  </si>
  <si>
    <t xml:space="preserve">Dias do ciclo</t>
  </si>
  <si>
    <t xml:space="preserve">Bloco e horário</t>
  </si>
  <si>
    <t xml:space="preserve">Fixa</t>
  </si>
  <si>
    <t xml:space="preserve">1 e 2</t>
  </si>
  <si>
    <t xml:space="preserve">Ter S1, Sex S1, Qua S2</t>
  </si>
  <si>
    <t xml:space="preserve">B01, 07:00–09:00</t>
  </si>
  <si>
    <t xml:space="preserve">Qua S1, Seg S2, Qui S2</t>
  </si>
  <si>
    <t xml:space="preserve">Qui S1, Ter S2, Sex S2</t>
  </si>
  <si>
    <t xml:space="preserve">Seg S1, Qui S1, Qua S2</t>
  </si>
  <si>
    <t xml:space="preserve">B02, 07:00–09:00</t>
  </si>
  <si>
    <t xml:space="preserve">Ter S1, Sex S1, Qui S2</t>
  </si>
  <si>
    <t xml:space="preserve">Qua S1, Seg S2, Sex S2</t>
  </si>
  <si>
    <t xml:space="preserve">B03, 07:00–09:00</t>
  </si>
  <si>
    <t xml:space="preserve">Seg S1, Sex S1, Qua S2</t>
  </si>
  <si>
    <t xml:space="preserve">B04, 07:00–09:00</t>
  </si>
  <si>
    <t xml:space="preserve">B05, 07:00–09:00</t>
  </si>
  <si>
    <t xml:space="preserve">Seg S1, Qui S1, Ter S2</t>
  </si>
  <si>
    <t xml:space="preserve">Qua S1, Ter S2, Sex S2</t>
  </si>
  <si>
    <t xml:space="preserve">B06, 07:00–09:00</t>
  </si>
  <si>
    <t xml:space="preserve">B07, 07:30–09:30</t>
  </si>
  <si>
    <t xml:space="preserve">B08, 07:30–09:30</t>
  </si>
  <si>
    <t xml:space="preserve">Ter S1, Seg S2, Qui S2</t>
  </si>
  <si>
    <t xml:space="preserve">B09, 08:00–10:00</t>
  </si>
  <si>
    <t xml:space="preserve">B10, 08:00–10:00</t>
  </si>
  <si>
    <t xml:space="preserve">B11, 08:00–10:00</t>
  </si>
  <si>
    <t xml:space="preserve">B12, 08:00–10:00</t>
  </si>
  <si>
    <t xml:space="preserve">B13, 08:00–10:00</t>
  </si>
  <si>
    <t xml:space="preserve">B14, 09:00–11:00</t>
  </si>
  <si>
    <t xml:space="preserve">B15, 09:00–11:00</t>
  </si>
  <si>
    <t xml:space="preserve">B16, 09:00–11:00</t>
  </si>
  <si>
    <t xml:space="preserve">B17, 09:30–11:30</t>
  </si>
  <si>
    <t xml:space="preserve">B18, 09:30–11:30</t>
  </si>
  <si>
    <t xml:space="preserve">B19, 10:00–12:00</t>
  </si>
  <si>
    <t xml:space="preserve">B20, 10:00–12:00</t>
  </si>
  <si>
    <t xml:space="preserve">B21, 10:00–12:00</t>
  </si>
  <si>
    <t xml:space="preserve">B22, 10:00–12:00</t>
  </si>
  <si>
    <t xml:space="preserve">B23, 10:00–12:00</t>
  </si>
  <si>
    <t xml:space="preserve">B24, 10:00–12:00</t>
  </si>
  <si>
    <t xml:space="preserve">B25, 10:00–12:00</t>
  </si>
  <si>
    <t xml:space="preserve">B26, 10:00–12:00</t>
  </si>
  <si>
    <t xml:space="preserve">B27, 13:00–15:00</t>
  </si>
  <si>
    <t xml:space="preserve">B28, 13:00–15:00</t>
  </si>
  <si>
    <t xml:space="preserve">B29, 13:00–15:00</t>
  </si>
  <si>
    <t xml:space="preserve">B30, 13:00–15:00</t>
  </si>
  <si>
    <t xml:space="preserve">B31, 13:00–15:00</t>
  </si>
  <si>
    <t xml:space="preserve">B32, 13:00–15:00</t>
  </si>
  <si>
    <t xml:space="preserve">B33, 13:00–15:00</t>
  </si>
  <si>
    <t xml:space="preserve">B34, 13:00–15:00</t>
  </si>
  <si>
    <t xml:space="preserve">B35, 13:30–15:30</t>
  </si>
  <si>
    <t xml:space="preserve">B36, 14:00–16:00</t>
  </si>
  <si>
    <t xml:space="preserve">B37, 14:00–16:00</t>
  </si>
  <si>
    <t xml:space="preserve">B38, 14:00–16:00</t>
  </si>
  <si>
    <t xml:space="preserve">B39, 14:30–16:30</t>
  </si>
  <si>
    <t xml:space="preserve">B40, 15:00–17:00</t>
  </si>
  <si>
    <t xml:space="preserve">B41, 15:00–17:00</t>
  </si>
  <si>
    <t xml:space="preserve">B42, 15:00–17:00</t>
  </si>
  <si>
    <t xml:space="preserve">B43, 15:00–17:00</t>
  </si>
  <si>
    <t xml:space="preserve">B44, 15:00–17:00</t>
  </si>
  <si>
    <t xml:space="preserve">B45, 15:00–17:00</t>
  </si>
  <si>
    <t xml:space="preserve">B46, 15:00–17:00</t>
  </si>
  <si>
    <t xml:space="preserve">B47, 15:00–17:00</t>
  </si>
  <si>
    <t xml:space="preserve">B48, 16:00–18:00</t>
  </si>
  <si>
    <t xml:space="preserve">B49, 16:00–18:00</t>
  </si>
  <si>
    <t xml:space="preserve">B50, 16:30–18:30</t>
  </si>
  <si>
    <t xml:space="preserve">B51, 16:30–18:30</t>
  </si>
  <si>
    <t xml:space="preserve">B52, 17:00–19:00</t>
  </si>
  <si>
    <t xml:space="preserve">B53, 17:00–19:00</t>
  </si>
  <si>
    <t xml:space="preserve">B54, 17:00–19:00</t>
  </si>
  <si>
    <t xml:space="preserve">B55, 17:00–19:00</t>
  </si>
  <si>
    <t xml:space="preserve">B56, 17:00–19:00</t>
  </si>
  <si>
    <t xml:space="preserve">B57, 17:00–19:00</t>
  </si>
  <si>
    <t xml:space="preserve">B58, 17:00–19:00</t>
  </si>
  <si>
    <t xml:space="preserve">B59, 17:00–19:00</t>
  </si>
  <si>
    <t xml:space="preserve">B60, 17:00–19:00</t>
  </si>
  <si>
    <t xml:space="preserve">Flexível</t>
  </si>
  <si>
    <t xml:space="preserve">1</t>
  </si>
  <si>
    <t xml:space="preserve">Seg S1 B09 08:00–10:00; Qui S1 B20 10:00–12:00; Ter S2 B10 08:00–10:00</t>
  </si>
  <si>
    <t xml:space="preserve">Ter S1 B36 14:00–16:00; Sex S1 B50 16:30–18:30; Qua S2 B19 10:00–12:00</t>
  </si>
  <si>
    <t xml:space="preserve">Qua S1 B14 09:00–11:00; Seg S2 B28 13:00–15:00; Qui S2 B48 16:00–18:00</t>
  </si>
  <si>
    <t xml:space="preserve">Qui S1 B41 15:00–17:00; Ter S2 B40 15:00–17:00; Sex S2 B27 13:00–15:00</t>
  </si>
  <si>
    <t xml:space="preserve">Seg S1 B01 07:00–09:00; Sex S1 B53 17:00–19:00; Qua S2 B17 09:30–11:30</t>
  </si>
  <si>
    <t xml:space="preserve">Ter S1 B03 07:00–09:00; Seg S2 B35 13:30–15:30; Qui S2 B52 17:00–19:00</t>
  </si>
  <si>
    <t xml:space="preserve">Qua S1 B51 16:30–18:30; Ter S2 B02 07:00–09:00; Sex S2 B22 10:00–12:00</t>
  </si>
  <si>
    <t xml:space="preserve">Seg S1 B42 15:00–17:00; Qui S1 B21 10:00–12:00; Qua S2 B49 16:00–18:00</t>
  </si>
  <si>
    <t xml:space="preserve">Ter S1 B30 13:00–15:00; Sex S1 B54 17:00–19:00; Qui S2 B11 08:00–10:00</t>
  </si>
  <si>
    <t xml:space="preserve">Qua S1 B55 17:00–19:00; Seg S2 B23 10:00–12:00; Sex S2 B39 14:30–16:30</t>
  </si>
  <si>
    <t xml:space="preserve">Seg S1 B07 07:30–09:30; Qui S1 B29 13:00–15:00; Ter S2 B43 15:00–17:00</t>
  </si>
  <si>
    <t xml:space="preserve">Ter S1 B18 09:30–11:30; Sex S1 B31 13:00–15:00; Qua S2 B37 14:00–16:00</t>
  </si>
  <si>
    <t xml:space="preserve">Qua S1 B32 13:00–15:00; Seg S2 B38 14:00–16:00; Qui S2 B24 10:00–12:00</t>
  </si>
  <si>
    <t xml:space="preserve">Qui S1 B56 17:00–19:00; Ter S2 B25 10:00–12:00; Sex S2 B33 13:00–15:00</t>
  </si>
  <si>
    <t xml:space="preserve">Seg S1 B12 08:00–10:00; Sex S1 B26 10:00–12:00; Qua S2 B45 15:00–17:00</t>
  </si>
  <si>
    <t xml:space="preserve">Ter S1 B34 13:00–15:00; Seg S2 B57 17:00–19:00; Qui S2 B13 08:00–10:00</t>
  </si>
  <si>
    <t xml:space="preserve">Qua S1 B58 17:00–19:00; Ter S2 B15 09:00–11:00; Sex S2 B44 15:00–17:00</t>
  </si>
  <si>
    <t xml:space="preserve">Seg S1 B04 07:00–09:00; Qui S1 B08 07:30–09:30; Qua S2 B47 15:00–17:00</t>
  </si>
  <si>
    <t xml:space="preserve">Ter S1 B16 09:00–11:00; Sex S1 B59 17:00–19:00; Qui S2 B05 07:00–09:00</t>
  </si>
  <si>
    <t xml:space="preserve">Qua S1 B60 17:00–19:00; Seg S2 B06 07:00–09:00; Sex S2 B46 15:00–17:00</t>
  </si>
  <si>
    <t xml:space="preserve">Serviços extras e de apoio</t>
  </si>
  <si>
    <t xml:space="preserve">Atendimento médico (1 dia por mês por especialidade; consultas de 30 min; 08h–12h e 13h–17h = 16 consultas/dia). Datas sugeridas.</t>
  </si>
  <si>
    <t xml:space="preserve">Neuropediatra</t>
  </si>
  <si>
    <t xml:space="preserve">Psiquiatra infantil</t>
  </si>
  <si>
    <t xml:space="preserve">Pediatra</t>
  </si>
  <si>
    <t xml:space="preserve">07/2026</t>
  </si>
  <si>
    <t xml:space="preserve">14/07 (ter)</t>
  </si>
  <si>
    <t xml:space="preserve">15/07 (qua)</t>
  </si>
  <si>
    <t xml:space="preserve">23/07 (qui)</t>
  </si>
  <si>
    <t xml:space="preserve">08/2026</t>
  </si>
  <si>
    <t xml:space="preserve">11/08 (ter)</t>
  </si>
  <si>
    <t xml:space="preserve">19/08 (qua)</t>
  </si>
  <si>
    <t xml:space="preserve">27/08 (qui)</t>
  </si>
  <si>
    <t xml:space="preserve">09/2026</t>
  </si>
  <si>
    <t xml:space="preserve">08/09 (ter)</t>
  </si>
  <si>
    <t xml:space="preserve">16/09 (qua)</t>
  </si>
  <si>
    <t xml:space="preserve">24/09 (qui)</t>
  </si>
  <si>
    <t xml:space="preserve">10/2026</t>
  </si>
  <si>
    <t xml:space="preserve">13/10 (ter)</t>
  </si>
  <si>
    <t xml:space="preserve">21/10 (qua)</t>
  </si>
  <si>
    <t xml:space="preserve">22/10 (qui)</t>
  </si>
  <si>
    <t xml:space="preserve">11/2026</t>
  </si>
  <si>
    <t xml:space="preserve">10/11 (ter)</t>
  </si>
  <si>
    <t xml:space="preserve">18/11 (qua)</t>
  </si>
  <si>
    <t xml:space="preserve">26/11 (qui)</t>
  </si>
  <si>
    <t xml:space="preserve">12/2026</t>
  </si>
  <si>
    <t xml:space="preserve">09/12 (qua)</t>
  </si>
  <si>
    <t xml:space="preserve">16/12 (qua)</t>
  </si>
  <si>
    <t xml:space="preserve">24/12 (qui)</t>
  </si>
  <si>
    <t xml:space="preserve">01/2027</t>
  </si>
  <si>
    <t xml:space="preserve">12/01 (ter)</t>
  </si>
  <si>
    <t xml:space="preserve">20/01 (qua)</t>
  </si>
  <si>
    <t xml:space="preserve">28/01 (qui)</t>
  </si>
  <si>
    <t xml:space="preserve">02/2027</t>
  </si>
  <si>
    <t xml:space="preserve">10/02 (qua)</t>
  </si>
  <si>
    <t xml:space="preserve">17/02 (qua)</t>
  </si>
  <si>
    <t xml:space="preserve">25/02 (qui)</t>
  </si>
  <si>
    <t xml:space="preserve">03/2027</t>
  </si>
  <si>
    <t xml:space="preserve">09/03 (ter)</t>
  </si>
  <si>
    <t xml:space="preserve">18/03 (qui)</t>
  </si>
  <si>
    <t xml:space="preserve">25/03 (qui)</t>
  </si>
  <si>
    <t xml:space="preserve">04/2027</t>
  </si>
  <si>
    <t xml:space="preserve">13/04 (ter)</t>
  </si>
  <si>
    <t xml:space="preserve">22/04 (qui)</t>
  </si>
  <si>
    <t xml:space="preserve">05/2027</t>
  </si>
  <si>
    <t xml:space="preserve">11/05 (ter)</t>
  </si>
  <si>
    <t xml:space="preserve">19/05 (qua)</t>
  </si>
  <si>
    <t xml:space="preserve">28/05 (sex)</t>
  </si>
  <si>
    <t xml:space="preserve">06/2027</t>
  </si>
  <si>
    <t xml:space="preserve">08/06 (ter)</t>
  </si>
  <si>
    <t xml:space="preserve">16/06 (qua)</t>
  </si>
  <si>
    <t xml:space="preserve">25/06 (sex)</t>
  </si>
  <si>
    <t xml:space="preserve">Capacidade: 16 consultas × 12 dias = 192 por médico por ano.</t>
  </si>
  <si>
    <t xml:space="preserve">Odontologia: 1 dentista por dia, consultas de 40 min = 16 vagas/dia (7 de manhã, 9 à tarde)</t>
  </si>
  <si>
    <t xml:space="preserve">Manhã</t>
  </si>
  <si>
    <t xml:space="preserve">Tarde</t>
  </si>
  <si>
    <t xml:space="preserve">07:00–07:40</t>
  </si>
  <si>
    <t xml:space="preserve">13:00–13:40</t>
  </si>
  <si>
    <t xml:space="preserve">07:40–08:20</t>
  </si>
  <si>
    <t xml:space="preserve">13:40–14:20</t>
  </si>
  <si>
    <t xml:space="preserve">08:20–09:00</t>
  </si>
  <si>
    <t xml:space="preserve">14:20–15:00</t>
  </si>
  <si>
    <t xml:space="preserve">09:00–09:40</t>
  </si>
  <si>
    <t xml:space="preserve">15:00–15:40</t>
  </si>
  <si>
    <t xml:space="preserve">09:40–10:20</t>
  </si>
  <si>
    <t xml:space="preserve">15:40–16:20</t>
  </si>
  <si>
    <t xml:space="preserve">10:20–11:00</t>
  </si>
  <si>
    <t xml:space="preserve">16:20–17:00</t>
  </si>
  <si>
    <t xml:space="preserve">11:00–11:40</t>
  </si>
  <si>
    <t xml:space="preserve">17:00–17:40</t>
  </si>
  <si>
    <t xml:space="preserve">17:40–18:20</t>
  </si>
  <si>
    <t xml:space="preserve">18:20–19:00</t>
  </si>
  <si>
    <t xml:space="preserve">Psicóloga dos pais: sessões de 30 min; G = grupo (até 8 pais), I = individual</t>
  </si>
  <si>
    <t xml:space="preserve">I</t>
  </si>
  <si>
    <t xml:space="preserve">G</t>
  </si>
  <si>
    <t xml:space="preserve">Demanda estimada: 1 sessão a cada 2 visitas, cerca de 27 pais/dia (cenário 2).</t>
  </si>
  <si>
    <t xml:space="preserve">Xadrez e capoeira: aulas de 1h no horário cheio, ao lado da visita (antes ou depois). Alternam a cada visita. Simulação com as 60 visitas do dia.</t>
  </si>
  <si>
    <t xml:space="preserve">Aula</t>
  </si>
  <si>
    <t xml:space="preserve">Xadrez (máx. 6)</t>
  </si>
  <si>
    <t xml:space="preserve">Capoeira (máx. 10)</t>
  </si>
  <si>
    <t xml:space="preserve">07:00–08:00</t>
  </si>
  <si>
    <t xml:space="preserve">08:00–09:00</t>
  </si>
  <si>
    <t xml:space="preserve">09:00–10:00</t>
  </si>
  <si>
    <t xml:space="preserve">10:00–11:00</t>
  </si>
  <si>
    <t xml:space="preserve">11:00–12:00</t>
  </si>
  <si>
    <t xml:space="preserve">13:00–14:00</t>
  </si>
  <si>
    <t xml:space="preserve">14:00–15:00</t>
  </si>
  <si>
    <t xml:space="preserve">15:00–16:00</t>
  </si>
  <si>
    <t xml:space="preserve">16:00–17:00</t>
  </si>
  <si>
    <t xml:space="preserve">17:00–18:00</t>
  </si>
  <si>
    <t xml:space="preserve">18:00–19:00</t>
  </si>
  <si>
    <t xml:space="preserve">Total/dia</t>
  </si>
  <si>
    <t xml:space="preserve">Espera média entre a visita e a aula: 4 min (máx. 30 min). Salas: 1 para xadrez, 1 para capoeira; 1 profissional por turno em cada.</t>
  </si>
  <si>
    <t xml:space="preserve">Oficinas profissionalizantes (turmas fixas): 1 sala, 7 encontros de 1h30 por dia. Distribuição PROVISÓRIA; o funcionamento das turmas ainda será definido.</t>
  </si>
  <si>
    <t xml:space="preserve">07:00–08:30</t>
  </si>
  <si>
    <t xml:space="preserve">Confeitaria e panificação (mães)</t>
  </si>
  <si>
    <t xml:space="preserve">Artesanato e personalizados (mães)</t>
  </si>
  <si>
    <t xml:space="preserve">Estética básica (mães)</t>
  </si>
  <si>
    <t xml:space="preserve">Elétrica e instalações básicas (pais)</t>
  </si>
  <si>
    <t xml:space="preserve">Informática e manutenção de celulares (pais)</t>
  </si>
  <si>
    <t xml:space="preserve">08:30–10:00</t>
  </si>
  <si>
    <t xml:space="preserve">Barbearia (pais)</t>
  </si>
  <si>
    <t xml:space="preserve">10:00–11:30</t>
  </si>
  <si>
    <t xml:space="preserve">13:00–14:30</t>
  </si>
  <si>
    <t xml:space="preserve">14:30–16:00</t>
  </si>
  <si>
    <t xml:space="preserve">16:00–17:30</t>
  </si>
  <si>
    <t xml:space="preserve">17:30–19:00</t>
  </si>
  <si>
    <t xml:space="preserve">Rosa = oficinas para mães; azul = oficinas para pais.</t>
  </si>
  <si>
    <t xml:space="preserve">Equipe e turnos (remuneração por turno: manhã 07h–12h e tarde 13h–19h)</t>
  </si>
  <si>
    <t xml:space="preserve">Função</t>
  </si>
  <si>
    <t xml:space="preserve">Profissionais por turno</t>
  </si>
  <si>
    <t xml:space="preserve">Turnos por dia</t>
  </si>
  <si>
    <t xml:space="preserve">Dias por ano</t>
  </si>
  <si>
    <t xml:space="preserve">Turnos por ano</t>
  </si>
  <si>
    <t xml:space="preserve">Fonoaudiologia</t>
  </si>
  <si>
    <t xml:space="preserve">Terapia Ocupacional</t>
  </si>
  <si>
    <t xml:space="preserve">Psicologia</t>
  </si>
  <si>
    <t xml:space="preserve">Psicopedagogia</t>
  </si>
  <si>
    <t xml:space="preserve">Psicomotricidade</t>
  </si>
  <si>
    <t xml:space="preserve">Terapia alimentar (nutrição)</t>
  </si>
  <si>
    <t xml:space="preserve">Psicóloga dos pais</t>
  </si>
  <si>
    <t xml:space="preserve">Odontologia (1 por dia)</t>
  </si>
  <si>
    <t xml:space="preserve">Capoeira (1 por vez)</t>
  </si>
  <si>
    <t xml:space="preserve">Xadrez (1 por turno)</t>
  </si>
  <si>
    <t xml:space="preserve">Médicos (3 especialidades, 1 dia/mês, 2 turnos)</t>
  </si>
  <si>
    <t xml:space="preserve">Total de turnos por ano</t>
  </si>
  <si>
    <t xml:space="preserve">Xadrez: 1 profissional por turno (2 por dia). Capoeira: 1 profissional por turno (confirmado).</t>
  </si>
  <si>
    <t xml:space="preserve">Dentista: pode ser profissionais diferentes por dia; o custo anual considera 1 por turno em todos os dias de atendimento.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</si>
</sst>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General"/>
    <numFmt numFmtId="167" formatCode="0%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B7E1E0"/>
      </patternFill>
    </fill>
    <fill>
      <patternFill patternType="solid">
        <fgColor rgb="FFB7E1E0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B7E1E0"/>
      </patternFill>
    </fill>
    <fill>
      <patternFill patternType="solid">
        <fgColor rgb="FFD9C3E8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BDD7EE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7E1E0"/>
      <rgbColor rgb="FF993366"/>
      <rgbColor rgb="FFFFF2CC"/>
      <rgbColor rgb="FFDDEBF7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BDD7EE"/>
      <rgbColor rgb="FFFCE4D6"/>
      <rgbColor rgb="FFD9D9D9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C6E0B4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n">
        <f aca="false">Calendário!B16</f>
        <v>246</v>
      </c>
      <c r="C5" s="4" t="s">
        <v>6</v>
      </c>
    </row>
    <row r="6" customFormat="false" ht="15" hidden="false" customHeight="false" outlineLevel="0" collapsed="false">
      <c r="A6" s="4" t="s">
        <v>7</v>
      </c>
      <c r="B6" s="4" t="s">
        <v>8</v>
      </c>
      <c r="C6" s="4" t="s">
        <v>9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12</v>
      </c>
    </row>
    <row r="8" customFormat="false" ht="15" hidden="false" customHeight="false" outlineLevel="0" collapsed="false">
      <c r="A8" s="4" t="s">
        <v>13</v>
      </c>
      <c r="B8" s="5" t="n">
        <v>24</v>
      </c>
      <c r="C8" s="4" t="s">
        <v>14</v>
      </c>
    </row>
    <row r="9" customFormat="false" ht="15" hidden="false" customHeight="false" outlineLevel="0" collapsed="false">
      <c r="A9" s="4" t="s">
        <v>15</v>
      </c>
      <c r="B9" s="5" t="n">
        <v>4</v>
      </c>
      <c r="C9" s="4" t="s">
        <v>16</v>
      </c>
    </row>
    <row r="10" customFormat="false" ht="15" hidden="false" customHeight="false" outlineLevel="0" collapsed="false">
      <c r="A10" s="4" t="s">
        <v>17</v>
      </c>
      <c r="B10" s="4" t="n">
        <f aca="false">B8/B9</f>
        <v>6</v>
      </c>
      <c r="C10" s="4" t="s">
        <v>18</v>
      </c>
    </row>
    <row r="11" customFormat="false" ht="15" hidden="false" customHeight="false" outlineLevel="0" collapsed="false">
      <c r="A11" s="4" t="s">
        <v>19</v>
      </c>
      <c r="B11" s="5" t="n">
        <v>10</v>
      </c>
      <c r="C11" s="4" t="s">
        <v>20</v>
      </c>
    </row>
    <row r="12" customFormat="false" ht="15" hidden="false" customHeight="false" outlineLevel="0" collapsed="false">
      <c r="A12" s="4" t="s">
        <v>21</v>
      </c>
      <c r="B12" s="4" t="n">
        <f aca="false">B10*B11/20</f>
        <v>3</v>
      </c>
      <c r="C12" s="4" t="s">
        <v>22</v>
      </c>
    </row>
    <row r="13" customFormat="false" ht="15" hidden="false" customHeight="false" outlineLevel="0" collapsed="false">
      <c r="A13" s="4" t="s">
        <v>23</v>
      </c>
      <c r="B13" s="5" t="n">
        <v>60</v>
      </c>
      <c r="C13" s="4" t="s">
        <v>24</v>
      </c>
    </row>
    <row r="16" customFormat="false" ht="15" hidden="false" customHeight="false" outlineLevel="0" collapsed="false">
      <c r="A16" s="6" t="s">
        <v>25</v>
      </c>
    </row>
    <row r="17" customFormat="false" ht="15" hidden="false" customHeight="false" outlineLevel="0" collapsed="false">
      <c r="A17" s="3" t="s">
        <v>26</v>
      </c>
      <c r="B17" s="3" t="s">
        <v>27</v>
      </c>
      <c r="C17" s="3" t="s">
        <v>28</v>
      </c>
    </row>
    <row r="18" customFormat="false" ht="15" hidden="false" customHeight="false" outlineLevel="0" collapsed="false">
      <c r="A18" s="4" t="s">
        <v>29</v>
      </c>
      <c r="B18" s="7" t="n">
        <f aca="false">B11/B12</f>
        <v>3.33333333333333</v>
      </c>
      <c r="C18" s="7" t="n">
        <f aca="false">INT(B11/B12)</f>
        <v>3</v>
      </c>
    </row>
    <row r="19" customFormat="false" ht="15" hidden="false" customHeight="false" outlineLevel="0" collapsed="false">
      <c r="A19" s="4" t="s">
        <v>30</v>
      </c>
      <c r="B19" s="8" t="n">
        <f aca="false">ROUND(B13*B18,0)</f>
        <v>200</v>
      </c>
      <c r="C19" s="8" t="n">
        <f aca="false">B13*C18</f>
        <v>180</v>
      </c>
    </row>
    <row r="20" customFormat="false" ht="15" hidden="false" customHeight="false" outlineLevel="0" collapsed="false">
      <c r="A20" s="4" t="s">
        <v>31</v>
      </c>
      <c r="B20" s="9" t="n">
        <f aca="false">B19*B12/B11</f>
        <v>60</v>
      </c>
      <c r="C20" s="9" t="n">
        <f aca="false">C19*B12/B11</f>
        <v>54</v>
      </c>
    </row>
    <row r="21" customFormat="false" ht="15" hidden="false" customHeight="false" outlineLevel="0" collapsed="false">
      <c r="A21" s="4" t="s">
        <v>32</v>
      </c>
      <c r="B21" s="9" t="n">
        <f aca="false">B13-B20</f>
        <v>0</v>
      </c>
      <c r="C21" s="9" t="n">
        <f aca="false">B13-C20</f>
        <v>6</v>
      </c>
    </row>
    <row r="22" customFormat="false" ht="15" hidden="false" customHeight="false" outlineLevel="0" collapsed="false">
      <c r="A22" s="4" t="s">
        <v>33</v>
      </c>
      <c r="B22" s="10" t="n">
        <f aca="false">B20/B13</f>
        <v>1</v>
      </c>
      <c r="C22" s="10" t="n">
        <f aca="false">C20/B13</f>
        <v>0.9</v>
      </c>
    </row>
    <row r="23" customFormat="false" ht="15" hidden="false" customHeight="false" outlineLevel="0" collapsed="false">
      <c r="A23" s="4" t="s">
        <v>34</v>
      </c>
      <c r="B23" s="9" t="n">
        <f aca="false">B20*B9</f>
        <v>240</v>
      </c>
      <c r="C23" s="9" t="n">
        <f aca="false">C20*B9</f>
        <v>216</v>
      </c>
    </row>
    <row r="24" customFormat="false" ht="15" hidden="false" customHeight="false" outlineLevel="0" collapsed="false">
      <c r="A24" s="4" t="s">
        <v>35</v>
      </c>
      <c r="B24" s="11" t="n">
        <f aca="false">B19*B8*B5/20</f>
        <v>59040</v>
      </c>
      <c r="C24" s="11" t="n">
        <f aca="false">C19*B8*B5/20</f>
        <v>53136</v>
      </c>
    </row>
    <row r="25" customFormat="false" ht="15" hidden="false" customHeight="false" outlineLevel="0" collapsed="false">
      <c r="A25" s="4" t="s">
        <v>36</v>
      </c>
      <c r="B25" s="9" t="s">
        <v>37</v>
      </c>
      <c r="C25" s="9" t="s">
        <v>38</v>
      </c>
    </row>
    <row r="27" customFormat="false" ht="15" hidden="false" customHeight="false" outlineLevel="0" collapsed="false">
      <c r="A27" s="6" t="s">
        <v>39</v>
      </c>
    </row>
    <row r="28" customFormat="false" ht="15" hidden="false" customHeight="false" outlineLevel="0" collapsed="false">
      <c r="A28" s="2" t="s">
        <v>40</v>
      </c>
    </row>
    <row r="29" customFormat="false" ht="15" hidden="false" customHeight="false" outlineLevel="0" collapsed="false">
      <c r="A29" s="2" t="s">
        <v>41</v>
      </c>
    </row>
    <row r="30" customFormat="false" ht="15" hidden="false" customHeight="false" outlineLevel="0" collapsed="false">
      <c r="A30" s="2" t="s">
        <v>42</v>
      </c>
    </row>
    <row r="31" customFormat="false" ht="15" hidden="false" customHeight="false" outlineLevel="0" collapsed="false">
      <c r="A31" s="2" t="s">
        <v>43</v>
      </c>
    </row>
    <row r="32" customFormat="false" ht="15" hidden="false" customHeight="false" outlineLevel="0" collapsed="false">
      <c r="A32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45</v>
      </c>
    </row>
    <row r="3" customFormat="false" ht="26.85" hidden="false" customHeight="false" outlineLevel="0" collapsed="false">
      <c r="A3" s="3" t="s">
        <v>46</v>
      </c>
      <c r="B3" s="3" t="s">
        <v>47</v>
      </c>
      <c r="D3" s="6" t="s">
        <v>48</v>
      </c>
    </row>
    <row r="4" customFormat="false" ht="15" hidden="false" customHeight="false" outlineLevel="0" collapsed="false">
      <c r="A4" s="4" t="s">
        <v>49</v>
      </c>
      <c r="B4" s="5" t="n">
        <v>22</v>
      </c>
      <c r="D4" s="3" t="s">
        <v>50</v>
      </c>
      <c r="E4" s="3" t="s">
        <v>51</v>
      </c>
      <c r="F4" s="3" t="s">
        <v>52</v>
      </c>
    </row>
    <row r="5" customFormat="false" ht="15" hidden="false" customHeight="false" outlineLevel="0" collapsed="false">
      <c r="A5" s="4" t="s">
        <v>53</v>
      </c>
      <c r="B5" s="5" t="n">
        <v>21</v>
      </c>
      <c r="D5" s="4" t="s">
        <v>54</v>
      </c>
      <c r="E5" s="4" t="s">
        <v>55</v>
      </c>
      <c r="F5" s="4" t="s">
        <v>56</v>
      </c>
    </row>
    <row r="6" customFormat="false" ht="15" hidden="false" customHeight="false" outlineLevel="0" collapsed="false">
      <c r="A6" s="4" t="s">
        <v>57</v>
      </c>
      <c r="B6" s="5" t="n">
        <v>21</v>
      </c>
      <c r="D6" s="4" t="s">
        <v>58</v>
      </c>
      <c r="E6" s="4" t="s">
        <v>59</v>
      </c>
      <c r="F6" s="4" t="s">
        <v>60</v>
      </c>
    </row>
    <row r="7" customFormat="false" ht="15" hidden="false" customHeight="false" outlineLevel="0" collapsed="false">
      <c r="A7" s="4" t="s">
        <v>61</v>
      </c>
      <c r="B7" s="5" t="n">
        <v>21</v>
      </c>
      <c r="D7" s="4" t="s">
        <v>62</v>
      </c>
      <c r="E7" s="4" t="s">
        <v>59</v>
      </c>
      <c r="F7" s="4" t="s">
        <v>63</v>
      </c>
    </row>
    <row r="8" customFormat="false" ht="15" hidden="false" customHeight="false" outlineLevel="0" collapsed="false">
      <c r="A8" s="4" t="s">
        <v>64</v>
      </c>
      <c r="B8" s="5" t="n">
        <v>19</v>
      </c>
      <c r="D8" s="4" t="s">
        <v>65</v>
      </c>
      <c r="E8" s="4" t="s">
        <v>59</v>
      </c>
      <c r="F8" s="4" t="s">
        <v>66</v>
      </c>
    </row>
    <row r="9" customFormat="false" ht="15" hidden="false" customHeight="false" outlineLevel="0" collapsed="false">
      <c r="A9" s="4" t="s">
        <v>67</v>
      </c>
      <c r="B9" s="5" t="n">
        <v>21</v>
      </c>
      <c r="D9" s="4" t="s">
        <v>68</v>
      </c>
      <c r="E9" s="4" t="s">
        <v>69</v>
      </c>
      <c r="F9" s="4" t="s">
        <v>70</v>
      </c>
    </row>
    <row r="10" customFormat="false" ht="15" hidden="false" customHeight="false" outlineLevel="0" collapsed="false">
      <c r="A10" s="4" t="s">
        <v>71</v>
      </c>
      <c r="B10" s="5" t="n">
        <v>20</v>
      </c>
      <c r="D10" s="4" t="s">
        <v>72</v>
      </c>
      <c r="E10" s="4" t="s">
        <v>73</v>
      </c>
      <c r="F10" s="4" t="s">
        <v>74</v>
      </c>
    </row>
    <row r="11" customFormat="false" ht="15" hidden="false" customHeight="false" outlineLevel="0" collapsed="false">
      <c r="A11" s="4" t="s">
        <v>75</v>
      </c>
      <c r="B11" s="5" t="n">
        <v>18</v>
      </c>
      <c r="D11" s="4" t="s">
        <v>76</v>
      </c>
      <c r="E11" s="4" t="s">
        <v>69</v>
      </c>
      <c r="F11" s="4" t="s">
        <v>77</v>
      </c>
    </row>
    <row r="12" customFormat="false" ht="15" hidden="false" customHeight="false" outlineLevel="0" collapsed="false">
      <c r="A12" s="4" t="s">
        <v>78</v>
      </c>
      <c r="B12" s="5" t="n">
        <v>21</v>
      </c>
      <c r="D12" s="4" t="s">
        <v>79</v>
      </c>
      <c r="E12" s="4" t="s">
        <v>69</v>
      </c>
      <c r="F12" s="4" t="s">
        <v>80</v>
      </c>
    </row>
    <row r="13" customFormat="false" ht="15" hidden="false" customHeight="false" outlineLevel="0" collapsed="false">
      <c r="A13" s="4" t="s">
        <v>81</v>
      </c>
      <c r="B13" s="5" t="n">
        <v>21</v>
      </c>
      <c r="D13" s="4" t="s">
        <v>82</v>
      </c>
      <c r="E13" s="4" t="s">
        <v>59</v>
      </c>
      <c r="F13" s="4" t="s">
        <v>83</v>
      </c>
    </row>
    <row r="14" customFormat="false" ht="15" hidden="false" customHeight="false" outlineLevel="0" collapsed="false">
      <c r="A14" s="4" t="s">
        <v>84</v>
      </c>
      <c r="B14" s="5" t="n">
        <v>20</v>
      </c>
      <c r="D14" s="4" t="s">
        <v>85</v>
      </c>
      <c r="E14" s="4" t="s">
        <v>73</v>
      </c>
      <c r="F14" s="4" t="s">
        <v>83</v>
      </c>
    </row>
    <row r="15" customFormat="false" ht="15" hidden="false" customHeight="false" outlineLevel="0" collapsed="false">
      <c r="A15" s="4" t="s">
        <v>86</v>
      </c>
      <c r="B15" s="5" t="n">
        <f aca="false">21+IF($B$19="S",1,0)</f>
        <v>21</v>
      </c>
      <c r="D15" s="4" t="s">
        <v>87</v>
      </c>
      <c r="E15" s="4" t="s">
        <v>55</v>
      </c>
      <c r="F15" s="4" t="s">
        <v>88</v>
      </c>
    </row>
    <row r="16" customFormat="false" ht="15" hidden="false" customHeight="false" outlineLevel="0" collapsed="false">
      <c r="A16" s="12" t="s">
        <v>89</v>
      </c>
      <c r="B16" s="12" t="n">
        <f aca="false">SUM(B4:B15)</f>
        <v>246</v>
      </c>
      <c r="D16" s="4" t="s">
        <v>90</v>
      </c>
      <c r="E16" s="4" t="s">
        <v>69</v>
      </c>
      <c r="F16" s="4" t="s">
        <v>91</v>
      </c>
    </row>
    <row r="17" customFormat="false" ht="15" hidden="false" customHeight="false" outlineLevel="0" collapsed="false">
      <c r="D17" s="4" t="s">
        <v>92</v>
      </c>
      <c r="E17" s="4" t="s">
        <v>55</v>
      </c>
      <c r="F17" s="4" t="s">
        <v>93</v>
      </c>
    </row>
    <row r="18" customFormat="false" ht="15" hidden="false" customHeight="false" outlineLevel="0" collapsed="false">
      <c r="A18" s="2" t="s">
        <v>94</v>
      </c>
      <c r="D18" s="4" t="s">
        <v>95</v>
      </c>
      <c r="E18" s="4" t="s">
        <v>96</v>
      </c>
      <c r="F18" s="4" t="s">
        <v>97</v>
      </c>
    </row>
    <row r="19" customFormat="false" ht="15" hidden="false" customHeight="false" outlineLevel="0" collapsed="false">
      <c r="A19" s="12" t="s">
        <v>98</v>
      </c>
      <c r="B19" s="13" t="s">
        <v>99</v>
      </c>
      <c r="D19" s="4" t="s">
        <v>100</v>
      </c>
      <c r="E19" s="4" t="s">
        <v>96</v>
      </c>
      <c r="F19" s="4" t="s">
        <v>101</v>
      </c>
    </row>
    <row r="20" customFormat="false" ht="15" hidden="false" customHeight="false" outlineLevel="0" collapsed="false">
      <c r="A20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43.5" hidden="false" customHeight="tru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  <c r="K4" s="3" t="s">
        <v>115</v>
      </c>
      <c r="L4" s="3" t="s">
        <v>116</v>
      </c>
      <c r="M4" s="3" t="s">
        <v>117</v>
      </c>
      <c r="N4" s="3" t="s">
        <v>118</v>
      </c>
    </row>
    <row r="5" customFormat="false" ht="15" hidden="false" customHeight="false" outlineLevel="0" collapsed="false">
      <c r="A5" s="8" t="s">
        <v>119</v>
      </c>
      <c r="B5" s="14" t="s">
        <v>120</v>
      </c>
      <c r="C5" s="9"/>
      <c r="D5" s="15" t="s">
        <v>121</v>
      </c>
      <c r="E5" s="9"/>
      <c r="F5" s="14" t="s">
        <v>122</v>
      </c>
      <c r="G5" s="9"/>
      <c r="H5" s="9"/>
      <c r="I5" s="9"/>
      <c r="J5" s="15" t="s">
        <v>123</v>
      </c>
      <c r="K5" s="15" t="s">
        <v>124</v>
      </c>
      <c r="L5" s="9"/>
      <c r="M5" s="14" t="s">
        <v>125</v>
      </c>
      <c r="N5" s="9"/>
    </row>
    <row r="6" customFormat="false" ht="15" hidden="false" customHeight="false" outlineLevel="0" collapsed="false">
      <c r="A6" s="8" t="s">
        <v>126</v>
      </c>
      <c r="B6" s="14" t="s">
        <v>122</v>
      </c>
      <c r="C6" s="9"/>
      <c r="D6" s="15" t="s">
        <v>123</v>
      </c>
      <c r="E6" s="15" t="s">
        <v>127</v>
      </c>
      <c r="F6" s="14" t="s">
        <v>125</v>
      </c>
      <c r="G6" s="15" t="s">
        <v>124</v>
      </c>
      <c r="H6" s="9"/>
      <c r="I6" s="9"/>
      <c r="J6" s="9"/>
      <c r="K6" s="9"/>
      <c r="L6" s="16" t="s">
        <v>128</v>
      </c>
      <c r="M6" s="14" t="s">
        <v>120</v>
      </c>
      <c r="N6" s="15" t="s">
        <v>121</v>
      </c>
    </row>
    <row r="7" customFormat="false" ht="15" hidden="false" customHeight="false" outlineLevel="0" collapsed="false">
      <c r="A7" s="8" t="s">
        <v>129</v>
      </c>
      <c r="B7" s="17" t="s">
        <v>130</v>
      </c>
      <c r="C7" s="17" t="s">
        <v>131</v>
      </c>
      <c r="D7" s="15" t="s">
        <v>124</v>
      </c>
      <c r="E7" s="16" t="s">
        <v>128</v>
      </c>
      <c r="F7" s="15" t="s">
        <v>121</v>
      </c>
      <c r="G7" s="15" t="s">
        <v>123</v>
      </c>
      <c r="H7" s="14" t="s">
        <v>120</v>
      </c>
      <c r="I7" s="14" t="s">
        <v>125</v>
      </c>
      <c r="J7" s="18" t="s">
        <v>132</v>
      </c>
      <c r="K7" s="18" t="s">
        <v>133</v>
      </c>
      <c r="L7" s="16" t="s">
        <v>134</v>
      </c>
      <c r="M7" s="14" t="s">
        <v>122</v>
      </c>
      <c r="N7" s="15" t="s">
        <v>127</v>
      </c>
    </row>
    <row r="8" customFormat="false" ht="15" hidden="false" customHeight="false" outlineLevel="0" collapsed="false">
      <c r="A8" s="8" t="s">
        <v>135</v>
      </c>
      <c r="B8" s="14" t="s">
        <v>125</v>
      </c>
      <c r="C8" s="18" t="s">
        <v>133</v>
      </c>
      <c r="D8" s="17" t="s">
        <v>130</v>
      </c>
      <c r="E8" s="16" t="s">
        <v>134</v>
      </c>
      <c r="F8" s="14" t="s">
        <v>120</v>
      </c>
      <c r="G8" s="16" t="s">
        <v>128</v>
      </c>
      <c r="H8" s="14" t="s">
        <v>122</v>
      </c>
      <c r="I8" s="17" t="s">
        <v>131</v>
      </c>
      <c r="J8" s="15" t="s">
        <v>121</v>
      </c>
      <c r="K8" s="15" t="s">
        <v>127</v>
      </c>
      <c r="L8" s="18" t="s">
        <v>132</v>
      </c>
      <c r="M8" s="15" t="s">
        <v>123</v>
      </c>
      <c r="N8" s="15" t="s">
        <v>124</v>
      </c>
    </row>
    <row r="9" customFormat="false" ht="15" hidden="false" customHeight="false" outlineLevel="0" collapsed="false">
      <c r="A9" s="8" t="s">
        <v>136</v>
      </c>
      <c r="B9" s="18" t="s">
        <v>132</v>
      </c>
      <c r="C9" s="18" t="s">
        <v>137</v>
      </c>
      <c r="D9" s="17" t="s">
        <v>131</v>
      </c>
      <c r="E9" s="17" t="s">
        <v>138</v>
      </c>
      <c r="F9" s="15" t="s">
        <v>127</v>
      </c>
      <c r="G9" s="18" t="s">
        <v>133</v>
      </c>
      <c r="H9" s="16" t="s">
        <v>128</v>
      </c>
      <c r="I9" s="16" t="s">
        <v>134</v>
      </c>
      <c r="J9" s="17" t="s">
        <v>130</v>
      </c>
      <c r="K9" s="15" t="s">
        <v>139</v>
      </c>
      <c r="L9" s="9"/>
      <c r="M9" s="9"/>
      <c r="N9" s="9"/>
    </row>
    <row r="10" customFormat="false" ht="15" hidden="false" customHeight="false" outlineLevel="0" collapsed="false">
      <c r="A10" s="8" t="s">
        <v>140</v>
      </c>
      <c r="B10" s="17" t="s">
        <v>138</v>
      </c>
      <c r="C10" s="19" t="s">
        <v>141</v>
      </c>
      <c r="D10" s="9"/>
      <c r="E10" s="9"/>
      <c r="F10" s="16" t="s">
        <v>134</v>
      </c>
      <c r="G10" s="18" t="s">
        <v>132</v>
      </c>
      <c r="H10" s="17" t="s">
        <v>130</v>
      </c>
      <c r="I10" s="9"/>
      <c r="J10" s="17" t="s">
        <v>131</v>
      </c>
      <c r="K10" s="18" t="s">
        <v>137</v>
      </c>
      <c r="L10" s="18" t="s">
        <v>133</v>
      </c>
      <c r="M10" s="15" t="s">
        <v>139</v>
      </c>
      <c r="N10" s="14" t="s">
        <v>142</v>
      </c>
    </row>
    <row r="11" customFormat="false" ht="15" hidden="false" customHeight="false" outlineLevel="0" collapsed="false">
      <c r="A11" s="8" t="s">
        <v>143</v>
      </c>
      <c r="B11" s="14" t="s">
        <v>144</v>
      </c>
      <c r="C11" s="19" t="s">
        <v>145</v>
      </c>
      <c r="D11" s="15" t="s">
        <v>139</v>
      </c>
      <c r="E11" s="16" t="s">
        <v>146</v>
      </c>
      <c r="F11" s="14" t="s">
        <v>142</v>
      </c>
      <c r="G11" s="14" t="s">
        <v>147</v>
      </c>
      <c r="H11" s="17" t="s">
        <v>138</v>
      </c>
      <c r="I11" s="17" t="s">
        <v>148</v>
      </c>
      <c r="J11" s="17" t="s">
        <v>149</v>
      </c>
      <c r="K11" s="18" t="s">
        <v>150</v>
      </c>
      <c r="L11" s="18" t="s">
        <v>137</v>
      </c>
      <c r="M11" s="19" t="s">
        <v>141</v>
      </c>
      <c r="N11" s="19" t="s">
        <v>151</v>
      </c>
    </row>
    <row r="12" customFormat="false" ht="15" hidden="false" customHeight="false" outlineLevel="0" collapsed="false">
      <c r="A12" s="8" t="s">
        <v>152</v>
      </c>
      <c r="B12" s="17" t="s">
        <v>148</v>
      </c>
      <c r="C12" s="14" t="s">
        <v>147</v>
      </c>
      <c r="D12" s="19" t="s">
        <v>141</v>
      </c>
      <c r="E12" s="17" t="s">
        <v>149</v>
      </c>
      <c r="F12" s="18" t="s">
        <v>137</v>
      </c>
      <c r="G12" s="15" t="s">
        <v>139</v>
      </c>
      <c r="H12" s="14" t="s">
        <v>142</v>
      </c>
      <c r="I12" s="16" t="s">
        <v>146</v>
      </c>
      <c r="J12" s="17" t="s">
        <v>138</v>
      </c>
      <c r="K12" s="19" t="s">
        <v>151</v>
      </c>
      <c r="L12" s="18" t="s">
        <v>150</v>
      </c>
      <c r="M12" s="14" t="s">
        <v>144</v>
      </c>
      <c r="N12" s="19" t="s">
        <v>145</v>
      </c>
    </row>
    <row r="13" customFormat="false" ht="15" hidden="false" customHeight="false" outlineLevel="0" collapsed="false">
      <c r="A13" s="8" t="s">
        <v>153</v>
      </c>
      <c r="B13" s="14" t="s">
        <v>142</v>
      </c>
      <c r="C13" s="17" t="s">
        <v>149</v>
      </c>
      <c r="D13" s="17" t="s">
        <v>148</v>
      </c>
      <c r="E13" s="19" t="s">
        <v>151</v>
      </c>
      <c r="F13" s="14" t="s">
        <v>144</v>
      </c>
      <c r="G13" s="18" t="s">
        <v>150</v>
      </c>
      <c r="H13" s="14" t="s">
        <v>147</v>
      </c>
      <c r="I13" s="9"/>
      <c r="J13" s="19" t="s">
        <v>141</v>
      </c>
      <c r="K13" s="19" t="s">
        <v>145</v>
      </c>
      <c r="L13" s="16" t="s">
        <v>146</v>
      </c>
      <c r="M13" s="9"/>
      <c r="N13" s="9"/>
    </row>
    <row r="14" customFormat="false" ht="15" hidden="false" customHeight="false" outlineLevel="0" collapsed="false">
      <c r="A14" s="8" t="s">
        <v>154</v>
      </c>
      <c r="B14" s="19" t="s">
        <v>151</v>
      </c>
      <c r="C14" s="18" t="s">
        <v>150</v>
      </c>
      <c r="D14" s="19" t="s">
        <v>145</v>
      </c>
      <c r="E14" s="9"/>
      <c r="F14" s="16" t="s">
        <v>146</v>
      </c>
      <c r="G14" s="9"/>
      <c r="H14" s="17" t="s">
        <v>149</v>
      </c>
      <c r="I14" s="14" t="s">
        <v>144</v>
      </c>
      <c r="J14" s="17" t="s">
        <v>148</v>
      </c>
      <c r="K14" s="9"/>
      <c r="L14" s="9"/>
      <c r="M14" s="14" t="s">
        <v>147</v>
      </c>
      <c r="N14" s="9"/>
    </row>
    <row r="15" customFormat="false" ht="15" hidden="false" customHeight="false" outlineLevel="0" collapsed="false">
      <c r="A15" s="20" t="s">
        <v>155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customFormat="false" ht="15" hidden="false" customHeight="false" outlineLevel="0" collapsed="false">
      <c r="A16" s="8" t="s">
        <v>156</v>
      </c>
      <c r="B16" s="19" t="s">
        <v>157</v>
      </c>
      <c r="C16" s="19" t="s">
        <v>158</v>
      </c>
      <c r="D16" s="17" t="s">
        <v>159</v>
      </c>
      <c r="E16" s="17" t="s">
        <v>160</v>
      </c>
      <c r="F16" s="9"/>
      <c r="G16" s="9"/>
      <c r="H16" s="16" t="s">
        <v>161</v>
      </c>
      <c r="I16" s="9"/>
      <c r="J16" s="18" t="s">
        <v>162</v>
      </c>
      <c r="K16" s="9"/>
      <c r="L16" s="16" t="s">
        <v>163</v>
      </c>
      <c r="M16" s="19" t="s">
        <v>164</v>
      </c>
      <c r="N16" s="9"/>
    </row>
    <row r="17" customFormat="false" ht="15" hidden="false" customHeight="false" outlineLevel="0" collapsed="false">
      <c r="A17" s="8" t="s">
        <v>165</v>
      </c>
      <c r="B17" s="17" t="s">
        <v>159</v>
      </c>
      <c r="C17" s="18" t="s">
        <v>162</v>
      </c>
      <c r="D17" s="19" t="s">
        <v>164</v>
      </c>
      <c r="E17" s="19" t="s">
        <v>158</v>
      </c>
      <c r="F17" s="16" t="s">
        <v>161</v>
      </c>
      <c r="G17" s="14" t="s">
        <v>166</v>
      </c>
      <c r="H17" s="16" t="s">
        <v>163</v>
      </c>
      <c r="I17" s="9"/>
      <c r="J17" s="17" t="s">
        <v>160</v>
      </c>
      <c r="K17" s="19" t="s">
        <v>157</v>
      </c>
      <c r="L17" s="9"/>
      <c r="M17" s="9"/>
      <c r="N17" s="9"/>
    </row>
    <row r="18" customFormat="false" ht="15" hidden="false" customHeight="false" outlineLevel="0" collapsed="false">
      <c r="A18" s="8" t="s">
        <v>167</v>
      </c>
      <c r="B18" s="19" t="s">
        <v>164</v>
      </c>
      <c r="C18" s="19" t="s">
        <v>168</v>
      </c>
      <c r="D18" s="16" t="s">
        <v>163</v>
      </c>
      <c r="E18" s="19" t="s">
        <v>157</v>
      </c>
      <c r="F18" s="18" t="s">
        <v>162</v>
      </c>
      <c r="G18" s="9"/>
      <c r="H18" s="17" t="s">
        <v>160</v>
      </c>
      <c r="I18" s="17" t="s">
        <v>169</v>
      </c>
      <c r="J18" s="17" t="s">
        <v>159</v>
      </c>
      <c r="K18" s="19" t="s">
        <v>170</v>
      </c>
      <c r="L18" s="16" t="s">
        <v>161</v>
      </c>
      <c r="M18" s="19" t="s">
        <v>158</v>
      </c>
      <c r="N18" s="14" t="s">
        <v>166</v>
      </c>
    </row>
    <row r="19" customFormat="false" ht="15" hidden="false" customHeight="false" outlineLevel="0" collapsed="false">
      <c r="A19" s="8" t="s">
        <v>171</v>
      </c>
      <c r="B19" s="17" t="s">
        <v>160</v>
      </c>
      <c r="C19" s="19" t="s">
        <v>170</v>
      </c>
      <c r="D19" s="16" t="s">
        <v>161</v>
      </c>
      <c r="E19" s="17" t="s">
        <v>169</v>
      </c>
      <c r="F19" s="16" t="s">
        <v>163</v>
      </c>
      <c r="G19" s="16" t="s">
        <v>172</v>
      </c>
      <c r="H19" s="17" t="s">
        <v>159</v>
      </c>
      <c r="I19" s="14" t="s">
        <v>166</v>
      </c>
      <c r="J19" s="19" t="s">
        <v>164</v>
      </c>
      <c r="K19" s="19" t="s">
        <v>158</v>
      </c>
      <c r="L19" s="18" t="s">
        <v>162</v>
      </c>
      <c r="M19" s="19" t="s">
        <v>157</v>
      </c>
      <c r="N19" s="19" t="s">
        <v>168</v>
      </c>
    </row>
    <row r="20" customFormat="false" ht="15" hidden="false" customHeight="false" outlineLevel="0" collapsed="false">
      <c r="A20" s="8" t="s">
        <v>173</v>
      </c>
      <c r="B20" s="14" t="s">
        <v>166</v>
      </c>
      <c r="C20" s="17" t="s">
        <v>174</v>
      </c>
      <c r="D20" s="19" t="s">
        <v>168</v>
      </c>
      <c r="E20" s="15" t="s">
        <v>175</v>
      </c>
      <c r="F20" s="16" t="s">
        <v>176</v>
      </c>
      <c r="G20" s="15" t="s">
        <v>177</v>
      </c>
      <c r="H20" s="16" t="s">
        <v>172</v>
      </c>
      <c r="I20" s="17" t="s">
        <v>178</v>
      </c>
      <c r="J20" s="17" t="s">
        <v>169</v>
      </c>
      <c r="K20" s="18" t="s">
        <v>179</v>
      </c>
      <c r="L20" s="18" t="s">
        <v>180</v>
      </c>
      <c r="M20" s="19" t="s">
        <v>170</v>
      </c>
      <c r="N20" s="14" t="s">
        <v>181</v>
      </c>
    </row>
    <row r="21" customFormat="false" ht="15" hidden="false" customHeight="false" outlineLevel="0" collapsed="false">
      <c r="A21" s="8" t="s">
        <v>182</v>
      </c>
      <c r="B21" s="17" t="s">
        <v>169</v>
      </c>
      <c r="C21" s="14" t="s">
        <v>181</v>
      </c>
      <c r="D21" s="19" t="s">
        <v>170</v>
      </c>
      <c r="E21" s="17" t="s">
        <v>178</v>
      </c>
      <c r="F21" s="18" t="s">
        <v>179</v>
      </c>
      <c r="G21" s="15" t="s">
        <v>175</v>
      </c>
      <c r="H21" s="17" t="s">
        <v>174</v>
      </c>
      <c r="I21" s="16" t="s">
        <v>176</v>
      </c>
      <c r="J21" s="19" t="s">
        <v>168</v>
      </c>
      <c r="K21" s="18" t="s">
        <v>180</v>
      </c>
      <c r="L21" s="16" t="s">
        <v>172</v>
      </c>
      <c r="M21" s="15" t="s">
        <v>177</v>
      </c>
      <c r="N21" s="9"/>
    </row>
    <row r="22" customFormat="false" ht="15" hidden="false" customHeight="false" outlineLevel="0" collapsed="false">
      <c r="A22" s="8" t="s">
        <v>183</v>
      </c>
      <c r="B22" s="17" t="s">
        <v>178</v>
      </c>
      <c r="C22" s="18" t="s">
        <v>180</v>
      </c>
      <c r="D22" s="16" t="s">
        <v>172</v>
      </c>
      <c r="E22" s="16" t="s">
        <v>176</v>
      </c>
      <c r="F22" s="14" t="s">
        <v>181</v>
      </c>
      <c r="G22" s="14" t="s">
        <v>184</v>
      </c>
      <c r="H22" s="17" t="s">
        <v>185</v>
      </c>
      <c r="I22" s="9"/>
      <c r="J22" s="17" t="s">
        <v>174</v>
      </c>
      <c r="K22" s="15" t="s">
        <v>177</v>
      </c>
      <c r="L22" s="18" t="s">
        <v>179</v>
      </c>
      <c r="M22" s="15" t="s">
        <v>175</v>
      </c>
      <c r="N22" s="9"/>
    </row>
    <row r="23" customFormat="false" ht="15" hidden="false" customHeight="false" outlineLevel="0" collapsed="false">
      <c r="A23" s="8" t="s">
        <v>186</v>
      </c>
      <c r="B23" s="18" t="s">
        <v>179</v>
      </c>
      <c r="C23" s="17" t="s">
        <v>185</v>
      </c>
      <c r="D23" s="17" t="s">
        <v>174</v>
      </c>
      <c r="E23" s="15" t="s">
        <v>177</v>
      </c>
      <c r="F23" s="18" t="s">
        <v>180</v>
      </c>
      <c r="G23" s="14" t="s">
        <v>187</v>
      </c>
      <c r="H23" s="14" t="s">
        <v>181</v>
      </c>
      <c r="I23" s="17" t="s">
        <v>188</v>
      </c>
      <c r="J23" s="17" t="s">
        <v>178</v>
      </c>
      <c r="K23" s="15" t="s">
        <v>175</v>
      </c>
      <c r="L23" s="16" t="s">
        <v>176</v>
      </c>
      <c r="M23" s="14" t="s">
        <v>184</v>
      </c>
      <c r="N23" s="9"/>
    </row>
    <row r="24" customFormat="false" ht="15" hidden="false" customHeight="false" outlineLevel="0" collapsed="false">
      <c r="A24" s="8" t="s">
        <v>189</v>
      </c>
      <c r="B24" s="14" t="s">
        <v>184</v>
      </c>
      <c r="C24" s="19" t="s">
        <v>190</v>
      </c>
      <c r="D24" s="17" t="s">
        <v>185</v>
      </c>
      <c r="E24" s="17" t="s">
        <v>188</v>
      </c>
      <c r="F24" s="14" t="s">
        <v>191</v>
      </c>
      <c r="G24" s="18" t="s">
        <v>192</v>
      </c>
      <c r="H24" s="14" t="s">
        <v>187</v>
      </c>
      <c r="I24" s="16" t="s">
        <v>193</v>
      </c>
      <c r="J24" s="18" t="s">
        <v>194</v>
      </c>
      <c r="K24" s="15" t="s">
        <v>195</v>
      </c>
      <c r="L24" s="16" t="s">
        <v>196</v>
      </c>
      <c r="M24" s="14" t="s">
        <v>197</v>
      </c>
      <c r="N24" s="15" t="s">
        <v>198</v>
      </c>
    </row>
    <row r="25" customFormat="false" ht="15" hidden="false" customHeight="false" outlineLevel="0" collapsed="false">
      <c r="A25" s="8" t="s">
        <v>199</v>
      </c>
      <c r="B25" s="14" t="s">
        <v>197</v>
      </c>
      <c r="C25" s="18" t="s">
        <v>192</v>
      </c>
      <c r="D25" s="19" t="s">
        <v>190</v>
      </c>
      <c r="E25" s="15" t="s">
        <v>195</v>
      </c>
      <c r="F25" s="18" t="s">
        <v>194</v>
      </c>
      <c r="G25" s="15" t="s">
        <v>198</v>
      </c>
      <c r="H25" s="14" t="s">
        <v>184</v>
      </c>
      <c r="I25" s="16" t="s">
        <v>196</v>
      </c>
      <c r="J25" s="17" t="s">
        <v>185</v>
      </c>
      <c r="K25" s="17" t="s">
        <v>188</v>
      </c>
      <c r="L25" s="16" t="s">
        <v>193</v>
      </c>
      <c r="M25" s="14" t="s">
        <v>187</v>
      </c>
      <c r="N25" s="14" t="s">
        <v>191</v>
      </c>
    </row>
    <row r="26" customFormat="false" ht="15" hidden="false" customHeight="false" outlineLevel="0" collapsed="false">
      <c r="A26" s="8" t="s">
        <v>200</v>
      </c>
      <c r="B26" s="17" t="s">
        <v>188</v>
      </c>
      <c r="C26" s="14" t="s">
        <v>187</v>
      </c>
      <c r="D26" s="16" t="s">
        <v>193</v>
      </c>
      <c r="E26" s="9"/>
      <c r="F26" s="14" t="s">
        <v>197</v>
      </c>
      <c r="G26" s="16" t="s">
        <v>196</v>
      </c>
      <c r="H26" s="14" t="s">
        <v>191</v>
      </c>
      <c r="I26" s="9"/>
      <c r="J26" s="18" t="s">
        <v>192</v>
      </c>
      <c r="K26" s="15" t="s">
        <v>198</v>
      </c>
      <c r="L26" s="18" t="s">
        <v>194</v>
      </c>
      <c r="M26" s="19" t="s">
        <v>190</v>
      </c>
      <c r="N26" s="15" t="s">
        <v>195</v>
      </c>
    </row>
    <row r="27" customFormat="false" ht="15" hidden="false" customHeight="false" outlineLevel="0" collapsed="false">
      <c r="A27" s="8" t="s">
        <v>201</v>
      </c>
      <c r="B27" s="14" t="s">
        <v>191</v>
      </c>
      <c r="C27" s="18" t="s">
        <v>194</v>
      </c>
      <c r="D27" s="16" t="s">
        <v>196</v>
      </c>
      <c r="E27" s="15" t="s">
        <v>198</v>
      </c>
      <c r="F27" s="16" t="s">
        <v>193</v>
      </c>
      <c r="G27" s="15" t="s">
        <v>195</v>
      </c>
      <c r="H27" s="14" t="s">
        <v>197</v>
      </c>
      <c r="I27" s="9"/>
      <c r="J27" s="19" t="s">
        <v>190</v>
      </c>
      <c r="K27" s="9"/>
      <c r="L27" s="18" t="s">
        <v>192</v>
      </c>
      <c r="M27" s="9"/>
      <c r="N27" s="9"/>
    </row>
    <row r="29" customFormat="false" ht="15" hidden="false" customHeight="false" outlineLevel="0" collapsed="false">
      <c r="A29" s="6" t="s">
        <v>202</v>
      </c>
    </row>
    <row r="30" customFormat="false" ht="15" hidden="false" customHeight="false" outlineLevel="0" collapsed="false">
      <c r="A30" s="21" t="s">
        <v>203</v>
      </c>
      <c r="B30" s="4" t="s">
        <v>204</v>
      </c>
      <c r="C30" s="4"/>
      <c r="D30" s="4"/>
      <c r="E30" s="4"/>
      <c r="F30" s="4" t="s">
        <v>205</v>
      </c>
    </row>
    <row r="31" customFormat="false" ht="15" hidden="false" customHeight="false" outlineLevel="0" collapsed="false">
      <c r="A31" s="22" t="s">
        <v>206</v>
      </c>
      <c r="B31" s="4" t="s">
        <v>207</v>
      </c>
      <c r="C31" s="4"/>
      <c r="D31" s="4"/>
      <c r="E31" s="4"/>
      <c r="F31" s="4" t="s">
        <v>205</v>
      </c>
    </row>
    <row r="32" customFormat="false" ht="15" hidden="false" customHeight="false" outlineLevel="0" collapsed="false">
      <c r="A32" s="23" t="s">
        <v>208</v>
      </c>
      <c r="B32" s="4" t="s">
        <v>209</v>
      </c>
      <c r="C32" s="4"/>
      <c r="D32" s="4"/>
      <c r="E32" s="4"/>
      <c r="F32" s="4" t="s">
        <v>210</v>
      </c>
    </row>
    <row r="33" customFormat="false" ht="15" hidden="false" customHeight="false" outlineLevel="0" collapsed="false">
      <c r="A33" s="24" t="s">
        <v>211</v>
      </c>
      <c r="B33" s="4" t="s">
        <v>212</v>
      </c>
      <c r="C33" s="4"/>
      <c r="D33" s="4"/>
      <c r="E33" s="4"/>
      <c r="F33" s="4" t="s">
        <v>210</v>
      </c>
    </row>
    <row r="34" customFormat="false" ht="15" hidden="false" customHeight="false" outlineLevel="0" collapsed="false">
      <c r="A34" s="25" t="s">
        <v>213</v>
      </c>
      <c r="B34" s="4" t="s">
        <v>214</v>
      </c>
      <c r="C34" s="4"/>
      <c r="D34" s="4"/>
      <c r="E34" s="4"/>
      <c r="F34" s="4" t="s">
        <v>210</v>
      </c>
    </row>
    <row r="35" customFormat="false" ht="15" hidden="false" customHeight="false" outlineLevel="0" collapsed="false">
      <c r="A35" s="26" t="s">
        <v>215</v>
      </c>
      <c r="B35" s="4" t="s">
        <v>216</v>
      </c>
      <c r="C35" s="4"/>
      <c r="D35" s="4"/>
      <c r="E35" s="4"/>
      <c r="F35" s="4" t="s">
        <v>210</v>
      </c>
    </row>
  </sheetData>
  <mergeCells count="6">
    <mergeCell ref="B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8" min="5" style="0" width="28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3" t="s">
        <v>218</v>
      </c>
      <c r="B3" s="3" t="s">
        <v>219</v>
      </c>
      <c r="C3" s="3" t="s">
        <v>220</v>
      </c>
      <c r="D3" s="3" t="s">
        <v>221</v>
      </c>
      <c r="E3" s="3" t="s">
        <v>222</v>
      </c>
      <c r="F3" s="3" t="s">
        <v>223</v>
      </c>
      <c r="G3" s="3" t="s">
        <v>224</v>
      </c>
      <c r="H3" s="3" t="s">
        <v>225</v>
      </c>
    </row>
    <row r="4" customFormat="false" ht="15" hidden="false" customHeight="false" outlineLevel="0" collapsed="false">
      <c r="A4" s="22" t="s">
        <v>120</v>
      </c>
      <c r="B4" s="4" t="n">
        <v>2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231</v>
      </c>
    </row>
    <row r="5" customFormat="false" ht="15" hidden="false" customHeight="false" outlineLevel="0" collapsed="false">
      <c r="A5" s="22" t="s">
        <v>122</v>
      </c>
      <c r="B5" s="4" t="n">
        <v>2</v>
      </c>
      <c r="C5" s="4" t="s">
        <v>226</v>
      </c>
      <c r="D5" s="4" t="s">
        <v>227</v>
      </c>
      <c r="E5" s="4" t="s">
        <v>232</v>
      </c>
      <c r="F5" s="4" t="s">
        <v>233</v>
      </c>
      <c r="G5" s="4" t="s">
        <v>234</v>
      </c>
      <c r="H5" s="4" t="s">
        <v>235</v>
      </c>
    </row>
    <row r="6" customFormat="false" ht="15" hidden="false" customHeight="false" outlineLevel="0" collapsed="false">
      <c r="A6" s="22" t="s">
        <v>125</v>
      </c>
      <c r="B6" s="4" t="n">
        <v>2</v>
      </c>
      <c r="C6" s="4" t="s">
        <v>226</v>
      </c>
      <c r="D6" s="4" t="s">
        <v>227</v>
      </c>
      <c r="E6" s="4" t="s">
        <v>236</v>
      </c>
      <c r="F6" s="4" t="s">
        <v>237</v>
      </c>
      <c r="G6" s="4" t="s">
        <v>230</v>
      </c>
      <c r="H6" s="4" t="s">
        <v>238</v>
      </c>
    </row>
    <row r="7" customFormat="false" ht="15" hidden="false" customHeight="false" outlineLevel="0" collapsed="false">
      <c r="A7" s="26" t="s">
        <v>121</v>
      </c>
      <c r="B7" s="4" t="n">
        <v>6</v>
      </c>
      <c r="C7" s="4" t="s">
        <v>226</v>
      </c>
      <c r="D7" s="4" t="s">
        <v>227</v>
      </c>
      <c r="E7" s="4" t="s">
        <v>239</v>
      </c>
      <c r="F7" s="4" t="s">
        <v>229</v>
      </c>
      <c r="G7" s="4" t="s">
        <v>240</v>
      </c>
      <c r="H7" s="4" t="s">
        <v>241</v>
      </c>
    </row>
    <row r="8" customFormat="false" ht="15" hidden="false" customHeight="false" outlineLevel="0" collapsed="false">
      <c r="A8" s="26" t="s">
        <v>123</v>
      </c>
      <c r="B8" s="4" t="n">
        <v>6</v>
      </c>
      <c r="C8" s="4" t="s">
        <v>226</v>
      </c>
      <c r="D8" s="4" t="s">
        <v>227</v>
      </c>
      <c r="E8" s="4" t="s">
        <v>242</v>
      </c>
      <c r="F8" s="4" t="s">
        <v>243</v>
      </c>
      <c r="G8" s="4" t="s">
        <v>240</v>
      </c>
      <c r="H8" s="4" t="s">
        <v>244</v>
      </c>
    </row>
    <row r="9" customFormat="false" ht="15" hidden="false" customHeight="false" outlineLevel="0" collapsed="false">
      <c r="A9" s="26" t="s">
        <v>124</v>
      </c>
      <c r="B9" s="4" t="n">
        <v>6</v>
      </c>
      <c r="C9" s="4" t="s">
        <v>226</v>
      </c>
      <c r="D9" s="4" t="s">
        <v>227</v>
      </c>
      <c r="E9" s="4" t="s">
        <v>242</v>
      </c>
      <c r="F9" s="4" t="s">
        <v>237</v>
      </c>
      <c r="G9" s="4" t="s">
        <v>245</v>
      </c>
      <c r="H9" s="4" t="s">
        <v>244</v>
      </c>
    </row>
    <row r="10" customFormat="false" ht="15" hidden="false" customHeight="false" outlineLevel="0" collapsed="false">
      <c r="A10" s="23" t="s">
        <v>128</v>
      </c>
      <c r="B10" s="4" t="n">
        <v>3</v>
      </c>
      <c r="C10" s="4" t="s">
        <v>246</v>
      </c>
      <c r="D10" s="4" t="s">
        <v>247</v>
      </c>
      <c r="E10" s="4" t="s">
        <v>248</v>
      </c>
      <c r="F10" s="4" t="s">
        <v>245</v>
      </c>
      <c r="G10" s="4" t="s">
        <v>231</v>
      </c>
      <c r="H10" s="4" t="s">
        <v>249</v>
      </c>
    </row>
    <row r="11" customFormat="false" ht="15" hidden="false" customHeight="false" outlineLevel="0" collapsed="false">
      <c r="A11" s="26" t="s">
        <v>127</v>
      </c>
      <c r="B11" s="4" t="n">
        <v>6</v>
      </c>
      <c r="C11" s="4" t="s">
        <v>246</v>
      </c>
      <c r="D11" s="4" t="s">
        <v>247</v>
      </c>
      <c r="E11" s="4" t="s">
        <v>243</v>
      </c>
      <c r="F11" s="4" t="s">
        <v>234</v>
      </c>
      <c r="G11" s="4" t="s">
        <v>241</v>
      </c>
      <c r="H11" s="4" t="s">
        <v>250</v>
      </c>
    </row>
    <row r="12" customFormat="false" ht="15" hidden="false" customHeight="false" outlineLevel="0" collapsed="false">
      <c r="A12" s="21" t="s">
        <v>130</v>
      </c>
      <c r="B12" s="4" t="n">
        <v>1</v>
      </c>
      <c r="C12" s="4" t="s">
        <v>251</v>
      </c>
      <c r="D12" s="4" t="s">
        <v>252</v>
      </c>
      <c r="E12" s="4" t="s">
        <v>253</v>
      </c>
      <c r="F12" s="4" t="s">
        <v>254</v>
      </c>
      <c r="G12" s="4" t="s">
        <v>255</v>
      </c>
      <c r="H12" s="4" t="s">
        <v>256</v>
      </c>
    </row>
    <row r="13" customFormat="false" ht="15" hidden="false" customHeight="false" outlineLevel="0" collapsed="false">
      <c r="A13" s="21" t="s">
        <v>131</v>
      </c>
      <c r="B13" s="4" t="n">
        <v>1</v>
      </c>
      <c r="C13" s="4" t="s">
        <v>251</v>
      </c>
      <c r="D13" s="4" t="s">
        <v>252</v>
      </c>
      <c r="E13" s="4" t="s">
        <v>253</v>
      </c>
      <c r="F13" s="4" t="s">
        <v>235</v>
      </c>
      <c r="G13" s="4" t="s">
        <v>257</v>
      </c>
      <c r="H13" s="4" t="s">
        <v>258</v>
      </c>
    </row>
    <row r="14" customFormat="false" ht="15" hidden="false" customHeight="false" outlineLevel="0" collapsed="false">
      <c r="A14" s="23" t="s">
        <v>134</v>
      </c>
      <c r="B14" s="4" t="n">
        <v>3</v>
      </c>
      <c r="C14" s="4" t="s">
        <v>251</v>
      </c>
      <c r="D14" s="4" t="s">
        <v>252</v>
      </c>
      <c r="E14" s="4" t="s">
        <v>259</v>
      </c>
      <c r="F14" s="4" t="s">
        <v>254</v>
      </c>
      <c r="G14" s="4" t="s">
        <v>249</v>
      </c>
      <c r="H14" s="4" t="s">
        <v>260</v>
      </c>
    </row>
    <row r="15" customFormat="false" ht="15" hidden="false" customHeight="false" outlineLevel="0" collapsed="false">
      <c r="A15" s="25" t="s">
        <v>132</v>
      </c>
      <c r="B15" s="4" t="n">
        <v>5</v>
      </c>
      <c r="C15" s="4" t="s">
        <v>251</v>
      </c>
      <c r="D15" s="4" t="s">
        <v>252</v>
      </c>
      <c r="E15" s="4" t="s">
        <v>261</v>
      </c>
      <c r="F15" s="4" t="s">
        <v>262</v>
      </c>
      <c r="G15" s="4" t="s">
        <v>263</v>
      </c>
      <c r="H15" s="4" t="s">
        <v>260</v>
      </c>
    </row>
    <row r="16" customFormat="false" ht="15" hidden="false" customHeight="false" outlineLevel="0" collapsed="false">
      <c r="A16" s="25" t="s">
        <v>133</v>
      </c>
      <c r="B16" s="4" t="n">
        <v>5</v>
      </c>
      <c r="C16" s="4" t="s">
        <v>251</v>
      </c>
      <c r="D16" s="4" t="s">
        <v>252</v>
      </c>
      <c r="E16" s="4" t="s">
        <v>261</v>
      </c>
      <c r="F16" s="4" t="s">
        <v>238</v>
      </c>
      <c r="G16" s="4" t="s">
        <v>250</v>
      </c>
      <c r="H16" s="4" t="s">
        <v>264</v>
      </c>
    </row>
    <row r="17" customFormat="false" ht="15" hidden="false" customHeight="false" outlineLevel="0" collapsed="false">
      <c r="A17" s="21" t="s">
        <v>138</v>
      </c>
      <c r="B17" s="4" t="n">
        <v>1</v>
      </c>
      <c r="C17" s="4" t="s">
        <v>227</v>
      </c>
      <c r="D17" s="4" t="s">
        <v>265</v>
      </c>
      <c r="E17" s="4" t="s">
        <v>257</v>
      </c>
      <c r="F17" s="4" t="s">
        <v>266</v>
      </c>
      <c r="G17" s="4" t="s">
        <v>267</v>
      </c>
      <c r="H17" s="4" t="s">
        <v>268</v>
      </c>
    </row>
    <row r="18" customFormat="false" ht="15" hidden="false" customHeight="false" outlineLevel="0" collapsed="false">
      <c r="A18" s="25" t="s">
        <v>137</v>
      </c>
      <c r="B18" s="4" t="n">
        <v>5</v>
      </c>
      <c r="C18" s="4" t="s">
        <v>227</v>
      </c>
      <c r="D18" s="4" t="s">
        <v>265</v>
      </c>
      <c r="E18" s="4" t="s">
        <v>263</v>
      </c>
      <c r="F18" s="4" t="s">
        <v>258</v>
      </c>
      <c r="G18" s="4" t="s">
        <v>269</v>
      </c>
      <c r="H18" s="4" t="s">
        <v>270</v>
      </c>
    </row>
    <row r="19" customFormat="false" ht="15" hidden="false" customHeight="false" outlineLevel="0" collapsed="false">
      <c r="A19" s="26" t="s">
        <v>139</v>
      </c>
      <c r="B19" s="4" t="n">
        <v>6</v>
      </c>
      <c r="C19" s="4" t="s">
        <v>227</v>
      </c>
      <c r="D19" s="4" t="s">
        <v>265</v>
      </c>
      <c r="E19" s="4" t="s">
        <v>255</v>
      </c>
      <c r="F19" s="4" t="s">
        <v>271</v>
      </c>
      <c r="G19" s="4" t="s">
        <v>272</v>
      </c>
      <c r="H19" s="4" t="s">
        <v>270</v>
      </c>
    </row>
    <row r="20" customFormat="false" ht="15" hidden="false" customHeight="false" outlineLevel="0" collapsed="false">
      <c r="A20" s="22" t="s">
        <v>142</v>
      </c>
      <c r="B20" s="4" t="n">
        <v>2</v>
      </c>
      <c r="C20" s="4" t="s">
        <v>247</v>
      </c>
      <c r="D20" s="4" t="s">
        <v>273</v>
      </c>
      <c r="E20" s="4" t="s">
        <v>271</v>
      </c>
      <c r="F20" s="4" t="s">
        <v>274</v>
      </c>
      <c r="G20" s="4" t="s">
        <v>275</v>
      </c>
      <c r="H20" s="4" t="s">
        <v>276</v>
      </c>
    </row>
    <row r="21" customFormat="false" ht="15" hidden="false" customHeight="false" outlineLevel="0" collapsed="false">
      <c r="A21" s="24" t="s">
        <v>141</v>
      </c>
      <c r="B21" s="4" t="n">
        <v>4</v>
      </c>
      <c r="C21" s="4" t="s">
        <v>247</v>
      </c>
      <c r="D21" s="4" t="s">
        <v>273</v>
      </c>
      <c r="E21" s="4" t="s">
        <v>266</v>
      </c>
      <c r="F21" s="4" t="s">
        <v>277</v>
      </c>
      <c r="G21" s="4" t="s">
        <v>278</v>
      </c>
      <c r="H21" s="4" t="s">
        <v>279</v>
      </c>
    </row>
    <row r="22" customFormat="false" ht="15" hidden="false" customHeight="false" outlineLevel="0" collapsed="false">
      <c r="A22" s="21" t="s">
        <v>148</v>
      </c>
      <c r="B22" s="4" t="n">
        <v>1</v>
      </c>
      <c r="C22" s="4" t="s">
        <v>252</v>
      </c>
      <c r="D22" s="4" t="s">
        <v>280</v>
      </c>
      <c r="E22" s="4" t="s">
        <v>267</v>
      </c>
      <c r="F22" s="4" t="s">
        <v>281</v>
      </c>
      <c r="G22" s="4" t="s">
        <v>282</v>
      </c>
      <c r="H22" s="4" t="s">
        <v>283</v>
      </c>
    </row>
    <row r="23" customFormat="false" ht="15" hidden="false" customHeight="false" outlineLevel="0" collapsed="false">
      <c r="A23" s="21" t="s">
        <v>149</v>
      </c>
      <c r="B23" s="4" t="n">
        <v>1</v>
      </c>
      <c r="C23" s="4" t="s">
        <v>252</v>
      </c>
      <c r="D23" s="4" t="s">
        <v>280</v>
      </c>
      <c r="E23" s="4" t="s">
        <v>284</v>
      </c>
      <c r="F23" s="4" t="s">
        <v>278</v>
      </c>
      <c r="G23" s="4" t="s">
        <v>276</v>
      </c>
      <c r="H23" s="4" t="s">
        <v>285</v>
      </c>
    </row>
    <row r="24" customFormat="false" ht="15" hidden="false" customHeight="false" outlineLevel="0" collapsed="false">
      <c r="A24" s="22" t="s">
        <v>144</v>
      </c>
      <c r="B24" s="4" t="n">
        <v>2</v>
      </c>
      <c r="C24" s="4" t="s">
        <v>252</v>
      </c>
      <c r="D24" s="4" t="s">
        <v>280</v>
      </c>
      <c r="E24" s="4" t="s">
        <v>286</v>
      </c>
      <c r="F24" s="4" t="s">
        <v>287</v>
      </c>
      <c r="G24" s="4" t="s">
        <v>288</v>
      </c>
      <c r="H24" s="4" t="s">
        <v>285</v>
      </c>
    </row>
    <row r="25" customFormat="false" ht="15" hidden="false" customHeight="false" outlineLevel="0" collapsed="false">
      <c r="A25" s="22" t="s">
        <v>147</v>
      </c>
      <c r="B25" s="4" t="n">
        <v>2</v>
      </c>
      <c r="C25" s="4" t="s">
        <v>252</v>
      </c>
      <c r="D25" s="4" t="s">
        <v>280</v>
      </c>
      <c r="E25" s="4" t="s">
        <v>274</v>
      </c>
      <c r="F25" s="4" t="s">
        <v>281</v>
      </c>
      <c r="G25" s="4" t="s">
        <v>289</v>
      </c>
      <c r="H25" s="4" t="s">
        <v>290</v>
      </c>
    </row>
    <row r="26" customFormat="false" ht="15" hidden="false" customHeight="false" outlineLevel="0" collapsed="false">
      <c r="A26" s="23" t="s">
        <v>146</v>
      </c>
      <c r="B26" s="4" t="n">
        <v>3</v>
      </c>
      <c r="C26" s="4" t="s">
        <v>252</v>
      </c>
      <c r="D26" s="4" t="s">
        <v>280</v>
      </c>
      <c r="E26" s="4" t="s">
        <v>272</v>
      </c>
      <c r="F26" s="4" t="s">
        <v>275</v>
      </c>
      <c r="G26" s="4" t="s">
        <v>291</v>
      </c>
      <c r="H26" s="4" t="s">
        <v>292</v>
      </c>
    </row>
    <row r="27" customFormat="false" ht="15" hidden="false" customHeight="false" outlineLevel="0" collapsed="false">
      <c r="A27" s="24" t="s">
        <v>145</v>
      </c>
      <c r="B27" s="4" t="n">
        <v>4</v>
      </c>
      <c r="C27" s="4" t="s">
        <v>252</v>
      </c>
      <c r="D27" s="4" t="s">
        <v>280</v>
      </c>
      <c r="E27" s="4" t="s">
        <v>286</v>
      </c>
      <c r="F27" s="4" t="s">
        <v>287</v>
      </c>
      <c r="G27" s="4" t="s">
        <v>279</v>
      </c>
      <c r="H27" s="4" t="s">
        <v>293</v>
      </c>
    </row>
    <row r="28" customFormat="false" ht="15" hidden="false" customHeight="false" outlineLevel="0" collapsed="false">
      <c r="A28" s="24" t="s">
        <v>151</v>
      </c>
      <c r="B28" s="4" t="n">
        <v>4</v>
      </c>
      <c r="C28" s="4" t="s">
        <v>252</v>
      </c>
      <c r="D28" s="4" t="s">
        <v>280</v>
      </c>
      <c r="E28" s="4" t="s">
        <v>277</v>
      </c>
      <c r="F28" s="4" t="s">
        <v>268</v>
      </c>
      <c r="G28" s="4" t="s">
        <v>282</v>
      </c>
      <c r="H28" s="4" t="s">
        <v>294</v>
      </c>
    </row>
    <row r="29" customFormat="false" ht="15" hidden="false" customHeight="false" outlineLevel="0" collapsed="false">
      <c r="A29" s="25" t="s">
        <v>150</v>
      </c>
      <c r="B29" s="4" t="n">
        <v>5</v>
      </c>
      <c r="C29" s="4" t="s">
        <v>252</v>
      </c>
      <c r="D29" s="4" t="s">
        <v>280</v>
      </c>
      <c r="E29" s="4" t="s">
        <v>284</v>
      </c>
      <c r="F29" s="4" t="s">
        <v>295</v>
      </c>
      <c r="G29" s="4" t="s">
        <v>288</v>
      </c>
      <c r="H29" s="4" t="s">
        <v>294</v>
      </c>
    </row>
    <row r="30" customFormat="false" ht="15" hidden="false" customHeight="false" outlineLevel="0" collapsed="false">
      <c r="A30" s="21" t="s">
        <v>159</v>
      </c>
      <c r="B30" s="4" t="n">
        <v>1</v>
      </c>
      <c r="C30" s="4" t="s">
        <v>296</v>
      </c>
      <c r="D30" s="4" t="s">
        <v>297</v>
      </c>
      <c r="E30" s="4" t="s">
        <v>298</v>
      </c>
      <c r="F30" s="4" t="s">
        <v>299</v>
      </c>
      <c r="G30" s="4" t="s">
        <v>300</v>
      </c>
      <c r="H30" s="4" t="s">
        <v>301</v>
      </c>
    </row>
    <row r="31" customFormat="false" ht="15" hidden="false" customHeight="false" outlineLevel="0" collapsed="false">
      <c r="A31" s="21" t="s">
        <v>160</v>
      </c>
      <c r="B31" s="4" t="n">
        <v>1</v>
      </c>
      <c r="C31" s="4" t="s">
        <v>296</v>
      </c>
      <c r="D31" s="4" t="s">
        <v>297</v>
      </c>
      <c r="E31" s="4" t="s">
        <v>298</v>
      </c>
      <c r="F31" s="4" t="s">
        <v>302</v>
      </c>
      <c r="G31" s="4" t="s">
        <v>303</v>
      </c>
      <c r="H31" s="4" t="s">
        <v>304</v>
      </c>
    </row>
    <row r="32" customFormat="false" ht="15" hidden="false" customHeight="false" outlineLevel="0" collapsed="false">
      <c r="A32" s="23" t="s">
        <v>161</v>
      </c>
      <c r="B32" s="4" t="n">
        <v>3</v>
      </c>
      <c r="C32" s="4" t="s">
        <v>296</v>
      </c>
      <c r="D32" s="4" t="s">
        <v>297</v>
      </c>
      <c r="E32" s="4" t="s">
        <v>305</v>
      </c>
      <c r="F32" s="4" t="s">
        <v>306</v>
      </c>
      <c r="G32" s="4" t="s">
        <v>307</v>
      </c>
      <c r="H32" s="4" t="s">
        <v>308</v>
      </c>
    </row>
    <row r="33" customFormat="false" ht="15" hidden="false" customHeight="false" outlineLevel="0" collapsed="false">
      <c r="A33" s="23" t="s">
        <v>163</v>
      </c>
      <c r="B33" s="4" t="n">
        <v>3</v>
      </c>
      <c r="C33" s="4" t="s">
        <v>296</v>
      </c>
      <c r="D33" s="4" t="s">
        <v>297</v>
      </c>
      <c r="E33" s="4" t="s">
        <v>309</v>
      </c>
      <c r="F33" s="4" t="s">
        <v>310</v>
      </c>
      <c r="G33" s="4" t="s">
        <v>311</v>
      </c>
      <c r="H33" s="4" t="s">
        <v>312</v>
      </c>
    </row>
    <row r="34" customFormat="false" ht="15" hidden="false" customHeight="false" outlineLevel="0" collapsed="false">
      <c r="A34" s="24" t="s">
        <v>157</v>
      </c>
      <c r="B34" s="4" t="n">
        <v>4</v>
      </c>
      <c r="C34" s="4" t="s">
        <v>296</v>
      </c>
      <c r="D34" s="4" t="s">
        <v>297</v>
      </c>
      <c r="E34" s="4" t="s">
        <v>313</v>
      </c>
      <c r="F34" s="4" t="s">
        <v>302</v>
      </c>
      <c r="G34" s="4" t="s">
        <v>311</v>
      </c>
      <c r="H34" s="4" t="s">
        <v>314</v>
      </c>
    </row>
    <row r="35" customFormat="false" ht="15" hidden="false" customHeight="false" outlineLevel="0" collapsed="false">
      <c r="A35" s="24" t="s">
        <v>164</v>
      </c>
      <c r="B35" s="4" t="n">
        <v>4</v>
      </c>
      <c r="C35" s="4" t="s">
        <v>296</v>
      </c>
      <c r="D35" s="4" t="s">
        <v>297</v>
      </c>
      <c r="E35" s="4" t="s">
        <v>315</v>
      </c>
      <c r="F35" s="4" t="s">
        <v>316</v>
      </c>
      <c r="G35" s="4" t="s">
        <v>317</v>
      </c>
      <c r="H35" s="4" t="s">
        <v>318</v>
      </c>
    </row>
    <row r="36" customFormat="false" ht="15" hidden="false" customHeight="false" outlineLevel="0" collapsed="false">
      <c r="A36" s="24" t="s">
        <v>158</v>
      </c>
      <c r="B36" s="4" t="n">
        <v>4</v>
      </c>
      <c r="C36" s="4" t="s">
        <v>296</v>
      </c>
      <c r="D36" s="4" t="s">
        <v>297</v>
      </c>
      <c r="E36" s="4" t="s">
        <v>313</v>
      </c>
      <c r="F36" s="4" t="s">
        <v>316</v>
      </c>
      <c r="G36" s="4" t="s">
        <v>319</v>
      </c>
      <c r="H36" s="4" t="s">
        <v>318</v>
      </c>
    </row>
    <row r="37" customFormat="false" ht="15" hidden="false" customHeight="false" outlineLevel="0" collapsed="false">
      <c r="A37" s="25" t="s">
        <v>162</v>
      </c>
      <c r="B37" s="4" t="n">
        <v>5</v>
      </c>
      <c r="C37" s="4" t="s">
        <v>296</v>
      </c>
      <c r="D37" s="4" t="s">
        <v>297</v>
      </c>
      <c r="E37" s="4" t="s">
        <v>320</v>
      </c>
      <c r="F37" s="4" t="s">
        <v>299</v>
      </c>
      <c r="G37" s="4" t="s">
        <v>321</v>
      </c>
      <c r="H37" s="4" t="s">
        <v>322</v>
      </c>
    </row>
    <row r="38" customFormat="false" ht="15" hidden="false" customHeight="false" outlineLevel="0" collapsed="false">
      <c r="A38" s="22" t="s">
        <v>166</v>
      </c>
      <c r="B38" s="4" t="n">
        <v>2</v>
      </c>
      <c r="C38" s="4" t="s">
        <v>323</v>
      </c>
      <c r="D38" s="4" t="s">
        <v>324</v>
      </c>
      <c r="E38" s="4" t="s">
        <v>306</v>
      </c>
      <c r="F38" s="4" t="s">
        <v>319</v>
      </c>
      <c r="G38" s="4" t="s">
        <v>301</v>
      </c>
      <c r="H38" s="4" t="s">
        <v>325</v>
      </c>
    </row>
    <row r="39" customFormat="false" ht="15" hidden="false" customHeight="false" outlineLevel="0" collapsed="false">
      <c r="A39" s="21" t="s">
        <v>169</v>
      </c>
      <c r="B39" s="4" t="n">
        <v>1</v>
      </c>
      <c r="C39" s="4" t="s">
        <v>326</v>
      </c>
      <c r="D39" s="4" t="s">
        <v>327</v>
      </c>
      <c r="E39" s="4" t="s">
        <v>303</v>
      </c>
      <c r="F39" s="4" t="s">
        <v>308</v>
      </c>
      <c r="G39" s="4" t="s">
        <v>328</v>
      </c>
      <c r="H39" s="4" t="s">
        <v>329</v>
      </c>
    </row>
    <row r="40" customFormat="false" ht="15" hidden="false" customHeight="false" outlineLevel="0" collapsed="false">
      <c r="A40" s="24" t="s">
        <v>168</v>
      </c>
      <c r="B40" s="4" t="n">
        <v>4</v>
      </c>
      <c r="C40" s="4" t="s">
        <v>326</v>
      </c>
      <c r="D40" s="4" t="s">
        <v>327</v>
      </c>
      <c r="E40" s="4" t="s">
        <v>317</v>
      </c>
      <c r="F40" s="4" t="s">
        <v>314</v>
      </c>
      <c r="G40" s="4" t="s">
        <v>330</v>
      </c>
      <c r="H40" s="4" t="s">
        <v>331</v>
      </c>
    </row>
    <row r="41" customFormat="false" ht="15" hidden="false" customHeight="false" outlineLevel="0" collapsed="false">
      <c r="A41" s="24" t="s">
        <v>170</v>
      </c>
      <c r="B41" s="4" t="n">
        <v>4</v>
      </c>
      <c r="C41" s="4" t="s">
        <v>326</v>
      </c>
      <c r="D41" s="4" t="s">
        <v>327</v>
      </c>
      <c r="E41" s="4" t="s">
        <v>300</v>
      </c>
      <c r="F41" s="4" t="s">
        <v>304</v>
      </c>
      <c r="G41" s="4" t="s">
        <v>332</v>
      </c>
      <c r="H41" s="4" t="s">
        <v>333</v>
      </c>
    </row>
    <row r="42" customFormat="false" ht="15" hidden="false" customHeight="false" outlineLevel="0" collapsed="false">
      <c r="A42" s="23" t="s">
        <v>172</v>
      </c>
      <c r="B42" s="4" t="n">
        <v>3</v>
      </c>
      <c r="C42" s="4" t="s">
        <v>334</v>
      </c>
      <c r="D42" s="4" t="s">
        <v>335</v>
      </c>
      <c r="E42" s="4" t="s">
        <v>312</v>
      </c>
      <c r="F42" s="4" t="s">
        <v>336</v>
      </c>
      <c r="G42" s="4" t="s">
        <v>337</v>
      </c>
      <c r="H42" s="4" t="s">
        <v>338</v>
      </c>
    </row>
    <row r="43" customFormat="false" ht="15" hidden="false" customHeight="false" outlineLevel="0" collapsed="false">
      <c r="A43" s="21" t="s">
        <v>174</v>
      </c>
      <c r="B43" s="4" t="n">
        <v>1</v>
      </c>
      <c r="C43" s="4" t="s">
        <v>297</v>
      </c>
      <c r="D43" s="4" t="s">
        <v>339</v>
      </c>
      <c r="E43" s="4" t="s">
        <v>325</v>
      </c>
      <c r="F43" s="4" t="s">
        <v>340</v>
      </c>
      <c r="G43" s="4" t="s">
        <v>341</v>
      </c>
      <c r="H43" s="4" t="s">
        <v>342</v>
      </c>
    </row>
    <row r="44" customFormat="false" ht="15" hidden="false" customHeight="false" outlineLevel="0" collapsed="false">
      <c r="A44" s="21" t="s">
        <v>178</v>
      </c>
      <c r="B44" s="4" t="n">
        <v>1</v>
      </c>
      <c r="C44" s="4" t="s">
        <v>297</v>
      </c>
      <c r="D44" s="4" t="s">
        <v>339</v>
      </c>
      <c r="E44" s="4" t="s">
        <v>336</v>
      </c>
      <c r="F44" s="4" t="s">
        <v>333</v>
      </c>
      <c r="G44" s="4" t="s">
        <v>343</v>
      </c>
      <c r="H44" s="4" t="s">
        <v>344</v>
      </c>
    </row>
    <row r="45" customFormat="false" ht="15" hidden="false" customHeight="false" outlineLevel="0" collapsed="false">
      <c r="A45" s="22" t="s">
        <v>181</v>
      </c>
      <c r="B45" s="4" t="n">
        <v>2</v>
      </c>
      <c r="C45" s="4" t="s">
        <v>297</v>
      </c>
      <c r="D45" s="4" t="s">
        <v>339</v>
      </c>
      <c r="E45" s="4" t="s">
        <v>332</v>
      </c>
      <c r="F45" s="4" t="s">
        <v>329</v>
      </c>
      <c r="G45" s="4" t="s">
        <v>345</v>
      </c>
      <c r="H45" s="4" t="s">
        <v>346</v>
      </c>
    </row>
    <row r="46" customFormat="false" ht="15" hidden="false" customHeight="false" outlineLevel="0" collapsed="false">
      <c r="A46" s="23" t="s">
        <v>176</v>
      </c>
      <c r="B46" s="4" t="n">
        <v>3</v>
      </c>
      <c r="C46" s="4" t="s">
        <v>297</v>
      </c>
      <c r="D46" s="4" t="s">
        <v>339</v>
      </c>
      <c r="E46" s="4" t="s">
        <v>347</v>
      </c>
      <c r="F46" s="4" t="s">
        <v>340</v>
      </c>
      <c r="G46" s="4" t="s">
        <v>338</v>
      </c>
      <c r="H46" s="4" t="s">
        <v>348</v>
      </c>
    </row>
    <row r="47" customFormat="false" ht="15" hidden="false" customHeight="false" outlineLevel="0" collapsed="false">
      <c r="A47" s="25" t="s">
        <v>180</v>
      </c>
      <c r="B47" s="4" t="n">
        <v>5</v>
      </c>
      <c r="C47" s="4" t="s">
        <v>297</v>
      </c>
      <c r="D47" s="4" t="s">
        <v>339</v>
      </c>
      <c r="E47" s="4" t="s">
        <v>349</v>
      </c>
      <c r="F47" s="4" t="s">
        <v>331</v>
      </c>
      <c r="G47" s="4" t="s">
        <v>343</v>
      </c>
      <c r="H47" s="4" t="s">
        <v>350</v>
      </c>
    </row>
    <row r="48" customFormat="false" ht="15" hidden="false" customHeight="false" outlineLevel="0" collapsed="false">
      <c r="A48" s="25" t="s">
        <v>179</v>
      </c>
      <c r="B48" s="4" t="n">
        <v>5</v>
      </c>
      <c r="C48" s="4" t="s">
        <v>297</v>
      </c>
      <c r="D48" s="4" t="s">
        <v>339</v>
      </c>
      <c r="E48" s="4" t="s">
        <v>328</v>
      </c>
      <c r="F48" s="4" t="s">
        <v>351</v>
      </c>
      <c r="G48" s="4" t="s">
        <v>352</v>
      </c>
      <c r="H48" s="4" t="s">
        <v>353</v>
      </c>
    </row>
    <row r="49" customFormat="false" ht="15" hidden="false" customHeight="false" outlineLevel="0" collapsed="false">
      <c r="A49" s="26" t="s">
        <v>175</v>
      </c>
      <c r="B49" s="4" t="n">
        <v>6</v>
      </c>
      <c r="C49" s="4" t="s">
        <v>297</v>
      </c>
      <c r="D49" s="4" t="s">
        <v>339</v>
      </c>
      <c r="E49" s="4" t="s">
        <v>330</v>
      </c>
      <c r="F49" s="4" t="s">
        <v>351</v>
      </c>
      <c r="G49" s="4" t="s">
        <v>354</v>
      </c>
      <c r="H49" s="4" t="s">
        <v>344</v>
      </c>
    </row>
    <row r="50" customFormat="false" ht="15" hidden="false" customHeight="false" outlineLevel="0" collapsed="false">
      <c r="A50" s="26" t="s">
        <v>177</v>
      </c>
      <c r="B50" s="4" t="n">
        <v>6</v>
      </c>
      <c r="C50" s="4" t="s">
        <v>297</v>
      </c>
      <c r="D50" s="4" t="s">
        <v>339</v>
      </c>
      <c r="E50" s="4" t="s">
        <v>347</v>
      </c>
      <c r="F50" s="4" t="s">
        <v>355</v>
      </c>
      <c r="G50" s="4" t="s">
        <v>341</v>
      </c>
      <c r="H50" s="4" t="s">
        <v>342</v>
      </c>
    </row>
    <row r="51" customFormat="false" ht="15" hidden="false" customHeight="false" outlineLevel="0" collapsed="false">
      <c r="A51" s="21" t="s">
        <v>185</v>
      </c>
      <c r="B51" s="4" t="n">
        <v>1</v>
      </c>
      <c r="C51" s="4" t="s">
        <v>327</v>
      </c>
      <c r="D51" s="4" t="s">
        <v>356</v>
      </c>
      <c r="E51" s="4" t="s">
        <v>357</v>
      </c>
      <c r="F51" s="4" t="s">
        <v>353</v>
      </c>
      <c r="G51" s="4" t="s">
        <v>358</v>
      </c>
      <c r="H51" s="4" t="s">
        <v>359</v>
      </c>
    </row>
    <row r="52" customFormat="false" ht="15" hidden="false" customHeight="false" outlineLevel="0" collapsed="false">
      <c r="A52" s="22" t="s">
        <v>184</v>
      </c>
      <c r="B52" s="4" t="n">
        <v>2</v>
      </c>
      <c r="C52" s="4" t="s">
        <v>327</v>
      </c>
      <c r="D52" s="4" t="s">
        <v>356</v>
      </c>
      <c r="E52" s="4" t="s">
        <v>345</v>
      </c>
      <c r="F52" s="4" t="s">
        <v>360</v>
      </c>
      <c r="G52" s="4" t="s">
        <v>361</v>
      </c>
      <c r="H52" s="4" t="s">
        <v>362</v>
      </c>
    </row>
    <row r="53" customFormat="false" ht="15" hidden="false" customHeight="false" outlineLevel="0" collapsed="false">
      <c r="A53" s="21" t="s">
        <v>188</v>
      </c>
      <c r="B53" s="4" t="n">
        <v>1</v>
      </c>
      <c r="C53" s="4" t="s">
        <v>335</v>
      </c>
      <c r="D53" s="4" t="s">
        <v>363</v>
      </c>
      <c r="E53" s="4" t="s">
        <v>346</v>
      </c>
      <c r="F53" s="4" t="s">
        <v>358</v>
      </c>
      <c r="G53" s="4" t="s">
        <v>359</v>
      </c>
      <c r="H53" s="4" t="s">
        <v>364</v>
      </c>
    </row>
    <row r="54" customFormat="false" ht="15" hidden="false" customHeight="false" outlineLevel="0" collapsed="false">
      <c r="A54" s="22" t="s">
        <v>187</v>
      </c>
      <c r="B54" s="4" t="n">
        <v>2</v>
      </c>
      <c r="C54" s="4" t="s">
        <v>335</v>
      </c>
      <c r="D54" s="4" t="s">
        <v>363</v>
      </c>
      <c r="E54" s="4" t="s">
        <v>350</v>
      </c>
      <c r="F54" s="4" t="s">
        <v>365</v>
      </c>
      <c r="G54" s="4" t="s">
        <v>366</v>
      </c>
      <c r="H54" s="4" t="s">
        <v>364</v>
      </c>
    </row>
    <row r="55" customFormat="false" ht="15" hidden="false" customHeight="false" outlineLevel="0" collapsed="false">
      <c r="A55" s="22" t="s">
        <v>191</v>
      </c>
      <c r="B55" s="4" t="n">
        <v>2</v>
      </c>
      <c r="C55" s="4" t="s">
        <v>339</v>
      </c>
      <c r="D55" s="4" t="s">
        <v>367</v>
      </c>
      <c r="E55" s="4" t="s">
        <v>368</v>
      </c>
      <c r="F55" s="4" t="s">
        <v>366</v>
      </c>
      <c r="G55" s="4" t="s">
        <v>369</v>
      </c>
      <c r="H55" s="4" t="s">
        <v>370</v>
      </c>
    </row>
    <row r="56" customFormat="false" ht="15" hidden="false" customHeight="false" outlineLevel="0" collapsed="false">
      <c r="A56" s="22" t="s">
        <v>197</v>
      </c>
      <c r="B56" s="4" t="n">
        <v>2</v>
      </c>
      <c r="C56" s="4" t="s">
        <v>339</v>
      </c>
      <c r="D56" s="4" t="s">
        <v>367</v>
      </c>
      <c r="E56" s="4" t="s">
        <v>371</v>
      </c>
      <c r="F56" s="4" t="s">
        <v>372</v>
      </c>
      <c r="G56" s="4" t="s">
        <v>373</v>
      </c>
      <c r="H56" s="4" t="s">
        <v>374</v>
      </c>
    </row>
    <row r="57" customFormat="false" ht="15" hidden="false" customHeight="false" outlineLevel="0" collapsed="false">
      <c r="A57" s="23" t="s">
        <v>193</v>
      </c>
      <c r="B57" s="4" t="n">
        <v>3</v>
      </c>
      <c r="C57" s="4" t="s">
        <v>339</v>
      </c>
      <c r="D57" s="4" t="s">
        <v>367</v>
      </c>
      <c r="E57" s="4" t="s">
        <v>365</v>
      </c>
      <c r="F57" s="4" t="s">
        <v>375</v>
      </c>
      <c r="G57" s="4" t="s">
        <v>376</v>
      </c>
      <c r="H57" s="4" t="s">
        <v>377</v>
      </c>
    </row>
    <row r="58" customFormat="false" ht="15" hidden="false" customHeight="false" outlineLevel="0" collapsed="false">
      <c r="A58" s="23" t="s">
        <v>196</v>
      </c>
      <c r="B58" s="4" t="n">
        <v>3</v>
      </c>
      <c r="C58" s="4" t="s">
        <v>339</v>
      </c>
      <c r="D58" s="4" t="s">
        <v>367</v>
      </c>
      <c r="E58" s="4" t="s">
        <v>378</v>
      </c>
      <c r="F58" s="4" t="s">
        <v>362</v>
      </c>
      <c r="G58" s="4" t="s">
        <v>373</v>
      </c>
      <c r="H58" s="4" t="s">
        <v>379</v>
      </c>
    </row>
    <row r="59" customFormat="false" ht="15" hidden="false" customHeight="false" outlineLevel="0" collapsed="false">
      <c r="A59" s="24" t="s">
        <v>190</v>
      </c>
      <c r="B59" s="4" t="n">
        <v>4</v>
      </c>
      <c r="C59" s="4" t="s">
        <v>339</v>
      </c>
      <c r="D59" s="4" t="s">
        <v>367</v>
      </c>
      <c r="E59" s="4" t="s">
        <v>361</v>
      </c>
      <c r="F59" s="4" t="s">
        <v>380</v>
      </c>
      <c r="G59" s="4" t="s">
        <v>381</v>
      </c>
      <c r="H59" s="4" t="s">
        <v>382</v>
      </c>
    </row>
    <row r="60" customFormat="false" ht="15" hidden="false" customHeight="false" outlineLevel="0" collapsed="false">
      <c r="A60" s="25" t="s">
        <v>194</v>
      </c>
      <c r="B60" s="4" t="n">
        <v>5</v>
      </c>
      <c r="C60" s="4" t="s">
        <v>339</v>
      </c>
      <c r="D60" s="4" t="s">
        <v>367</v>
      </c>
      <c r="E60" s="4" t="s">
        <v>383</v>
      </c>
      <c r="F60" s="4" t="s">
        <v>384</v>
      </c>
      <c r="G60" s="4" t="s">
        <v>385</v>
      </c>
      <c r="H60" s="4" t="s">
        <v>370</v>
      </c>
    </row>
    <row r="61" customFormat="false" ht="15" hidden="false" customHeight="false" outlineLevel="0" collapsed="false">
      <c r="A61" s="25" t="s">
        <v>192</v>
      </c>
      <c r="B61" s="4" t="n">
        <v>5</v>
      </c>
      <c r="C61" s="4" t="s">
        <v>339</v>
      </c>
      <c r="D61" s="4" t="s">
        <v>367</v>
      </c>
      <c r="E61" s="4" t="s">
        <v>368</v>
      </c>
      <c r="F61" s="4" t="s">
        <v>372</v>
      </c>
      <c r="G61" s="4" t="s">
        <v>386</v>
      </c>
      <c r="H61" s="4" t="s">
        <v>387</v>
      </c>
    </row>
    <row r="62" customFormat="false" ht="15" hidden="false" customHeight="false" outlineLevel="0" collapsed="false">
      <c r="A62" s="26" t="s">
        <v>195</v>
      </c>
      <c r="B62" s="4" t="n">
        <v>6</v>
      </c>
      <c r="C62" s="4" t="s">
        <v>339</v>
      </c>
      <c r="D62" s="4" t="s">
        <v>367</v>
      </c>
      <c r="E62" s="4" t="s">
        <v>383</v>
      </c>
      <c r="F62" s="4" t="s">
        <v>380</v>
      </c>
      <c r="G62" s="4" t="s">
        <v>381</v>
      </c>
      <c r="H62" s="4" t="s">
        <v>377</v>
      </c>
    </row>
    <row r="63" customFormat="false" ht="15" hidden="false" customHeight="false" outlineLevel="0" collapsed="false">
      <c r="A63" s="26" t="s">
        <v>198</v>
      </c>
      <c r="B63" s="4" t="n">
        <v>6</v>
      </c>
      <c r="C63" s="4" t="s">
        <v>339</v>
      </c>
      <c r="D63" s="4" t="s">
        <v>367</v>
      </c>
      <c r="E63" s="4" t="s">
        <v>371</v>
      </c>
      <c r="F63" s="4" t="s">
        <v>384</v>
      </c>
      <c r="G63" s="4" t="s">
        <v>386</v>
      </c>
      <c r="H63" s="4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8"/>
    <col collapsed="false" customWidth="true" hidden="false" outlineLevel="0" max="13" min="4" style="0" width="1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15" hidden="false" customHeight="false" outlineLevel="0" collapsed="false">
      <c r="A4" s="3" t="s">
        <v>218</v>
      </c>
      <c r="B4" s="3" t="s">
        <v>220</v>
      </c>
      <c r="C4" s="3" t="s">
        <v>219</v>
      </c>
      <c r="D4" s="3" t="s">
        <v>390</v>
      </c>
      <c r="E4" s="3" t="s">
        <v>391</v>
      </c>
      <c r="F4" s="3" t="s">
        <v>392</v>
      </c>
      <c r="G4" s="3" t="s">
        <v>393</v>
      </c>
      <c r="H4" s="3" t="s">
        <v>394</v>
      </c>
      <c r="I4" s="3" t="s">
        <v>395</v>
      </c>
      <c r="J4" s="3" t="s">
        <v>396</v>
      </c>
      <c r="K4" s="3" t="s">
        <v>397</v>
      </c>
      <c r="L4" s="3" t="s">
        <v>398</v>
      </c>
      <c r="M4" s="3" t="s">
        <v>399</v>
      </c>
    </row>
    <row r="5" customFormat="false" ht="15" hidden="false" customHeight="false" outlineLevel="0" collapsed="false">
      <c r="A5" s="22" t="s">
        <v>120</v>
      </c>
      <c r="B5" s="4" t="s">
        <v>226</v>
      </c>
      <c r="C5" s="4" t="n">
        <v>2</v>
      </c>
      <c r="D5" s="27" t="s">
        <v>400</v>
      </c>
      <c r="E5" s="9" t="s">
        <v>401</v>
      </c>
      <c r="F5" s="9" t="s">
        <v>402</v>
      </c>
      <c r="G5" s="9" t="s">
        <v>403</v>
      </c>
      <c r="H5" s="9" t="s">
        <v>401</v>
      </c>
      <c r="I5" s="9" t="s">
        <v>402</v>
      </c>
      <c r="J5" s="9" t="s">
        <v>403</v>
      </c>
      <c r="K5" s="9" t="s">
        <v>401</v>
      </c>
      <c r="L5" s="9" t="s">
        <v>402</v>
      </c>
      <c r="M5" s="9" t="s">
        <v>403</v>
      </c>
    </row>
    <row r="6" customFormat="false" ht="15" hidden="false" customHeight="false" outlineLevel="0" collapsed="false">
      <c r="A6" s="22" t="s">
        <v>122</v>
      </c>
      <c r="B6" s="4" t="s">
        <v>226</v>
      </c>
      <c r="C6" s="4" t="n">
        <v>2</v>
      </c>
      <c r="D6" s="9" t="s">
        <v>404</v>
      </c>
      <c r="E6" s="9" t="s">
        <v>405</v>
      </c>
      <c r="F6" s="9" t="s">
        <v>406</v>
      </c>
      <c r="G6" s="9" t="s">
        <v>404</v>
      </c>
      <c r="H6" s="9" t="s">
        <v>405</v>
      </c>
      <c r="I6" s="9" t="s">
        <v>406</v>
      </c>
      <c r="J6" s="27" t="s">
        <v>400</v>
      </c>
      <c r="K6" s="9" t="s">
        <v>404</v>
      </c>
      <c r="L6" s="9" t="s">
        <v>405</v>
      </c>
      <c r="M6" s="9" t="s">
        <v>406</v>
      </c>
    </row>
    <row r="7" customFormat="false" ht="15" hidden="false" customHeight="false" outlineLevel="0" collapsed="false">
      <c r="A7" s="22" t="s">
        <v>125</v>
      </c>
      <c r="B7" s="4" t="s">
        <v>226</v>
      </c>
      <c r="C7" s="4" t="n">
        <v>2</v>
      </c>
      <c r="D7" s="9" t="s">
        <v>407</v>
      </c>
      <c r="E7" s="27" t="s">
        <v>400</v>
      </c>
      <c r="F7" s="9" t="s">
        <v>408</v>
      </c>
      <c r="G7" s="9" t="s">
        <v>409</v>
      </c>
      <c r="H7" s="9" t="s">
        <v>407</v>
      </c>
      <c r="I7" s="9" t="s">
        <v>408</v>
      </c>
      <c r="J7" s="9" t="s">
        <v>409</v>
      </c>
      <c r="K7" s="9" t="s">
        <v>407</v>
      </c>
      <c r="L7" s="9" t="s">
        <v>408</v>
      </c>
      <c r="M7" s="9" t="s">
        <v>409</v>
      </c>
    </row>
    <row r="8" customFormat="false" ht="15" hidden="false" customHeight="false" outlineLevel="0" collapsed="false">
      <c r="A8" s="26" t="s">
        <v>121</v>
      </c>
      <c r="B8" s="4" t="s">
        <v>226</v>
      </c>
      <c r="C8" s="4" t="n">
        <v>6</v>
      </c>
      <c r="D8" s="27" t="s">
        <v>400</v>
      </c>
      <c r="E8" s="9" t="s">
        <v>410</v>
      </c>
      <c r="F8" s="9" t="s">
        <v>411</v>
      </c>
      <c r="G8" s="9" t="s">
        <v>412</v>
      </c>
      <c r="H8" s="9" t="s">
        <v>410</v>
      </c>
      <c r="I8" s="9" t="s">
        <v>411</v>
      </c>
      <c r="J8" s="9" t="s">
        <v>412</v>
      </c>
      <c r="K8" s="9" t="s">
        <v>410</v>
      </c>
      <c r="L8" s="9" t="s">
        <v>411</v>
      </c>
      <c r="M8" s="9" t="s">
        <v>412</v>
      </c>
    </row>
    <row r="9" customFormat="false" ht="15" hidden="false" customHeight="false" outlineLevel="0" collapsed="false">
      <c r="A9" s="26" t="s">
        <v>123</v>
      </c>
      <c r="B9" s="4" t="s">
        <v>226</v>
      </c>
      <c r="C9" s="4" t="n">
        <v>6</v>
      </c>
      <c r="D9" s="9" t="s">
        <v>413</v>
      </c>
      <c r="E9" s="9" t="s">
        <v>414</v>
      </c>
      <c r="F9" s="9" t="s">
        <v>415</v>
      </c>
      <c r="G9" s="9" t="s">
        <v>413</v>
      </c>
      <c r="H9" s="9" t="s">
        <v>414</v>
      </c>
      <c r="I9" s="9" t="s">
        <v>415</v>
      </c>
      <c r="J9" s="9" t="s">
        <v>413</v>
      </c>
      <c r="K9" s="9" t="s">
        <v>414</v>
      </c>
      <c r="L9" s="27" t="s">
        <v>400</v>
      </c>
      <c r="M9" s="9" t="s">
        <v>415</v>
      </c>
    </row>
    <row r="10" customFormat="false" ht="15" hidden="false" customHeight="false" outlineLevel="0" collapsed="false">
      <c r="A10" s="26" t="s">
        <v>124</v>
      </c>
      <c r="B10" s="4" t="s">
        <v>226</v>
      </c>
      <c r="C10" s="4" t="n">
        <v>6</v>
      </c>
      <c r="D10" s="9" t="s">
        <v>416</v>
      </c>
      <c r="E10" s="9" t="s">
        <v>417</v>
      </c>
      <c r="F10" s="9" t="s">
        <v>418</v>
      </c>
      <c r="G10" s="9" t="s">
        <v>416</v>
      </c>
      <c r="H10" s="9" t="s">
        <v>417</v>
      </c>
      <c r="I10" s="27" t="s">
        <v>400</v>
      </c>
      <c r="J10" s="9" t="s">
        <v>418</v>
      </c>
      <c r="K10" s="9" t="s">
        <v>416</v>
      </c>
      <c r="L10" s="9" t="s">
        <v>417</v>
      </c>
      <c r="M10" s="9" t="s">
        <v>418</v>
      </c>
    </row>
    <row r="11" customFormat="false" ht="15" hidden="false" customHeight="false" outlineLevel="0" collapsed="false">
      <c r="A11" s="23" t="s">
        <v>128</v>
      </c>
      <c r="B11" s="4" t="s">
        <v>246</v>
      </c>
      <c r="C11" s="4" t="n">
        <v>3</v>
      </c>
      <c r="D11" s="27" t="s">
        <v>400</v>
      </c>
      <c r="E11" s="9" t="s">
        <v>419</v>
      </c>
      <c r="F11" s="9" t="s">
        <v>420</v>
      </c>
      <c r="G11" s="9" t="s">
        <v>421</v>
      </c>
      <c r="H11" s="9" t="s">
        <v>419</v>
      </c>
      <c r="I11" s="9" t="s">
        <v>420</v>
      </c>
      <c r="J11" s="9" t="s">
        <v>421</v>
      </c>
      <c r="K11" s="9" t="s">
        <v>419</v>
      </c>
      <c r="L11" s="9" t="s">
        <v>420</v>
      </c>
      <c r="M11" s="9" t="s">
        <v>421</v>
      </c>
    </row>
    <row r="12" customFormat="false" ht="15" hidden="false" customHeight="false" outlineLevel="0" collapsed="false">
      <c r="A12" s="26" t="s">
        <v>127</v>
      </c>
      <c r="B12" s="4" t="s">
        <v>246</v>
      </c>
      <c r="C12" s="4" t="n">
        <v>6</v>
      </c>
      <c r="D12" s="9" t="s">
        <v>422</v>
      </c>
      <c r="E12" s="9" t="s">
        <v>423</v>
      </c>
      <c r="F12" s="9" t="s">
        <v>424</v>
      </c>
      <c r="G12" s="27" t="s">
        <v>400</v>
      </c>
      <c r="H12" s="9" t="s">
        <v>422</v>
      </c>
      <c r="I12" s="9" t="s">
        <v>423</v>
      </c>
      <c r="J12" s="9" t="s">
        <v>424</v>
      </c>
      <c r="K12" s="9" t="s">
        <v>422</v>
      </c>
      <c r="L12" s="9" t="s">
        <v>423</v>
      </c>
      <c r="M12" s="9" t="s">
        <v>424</v>
      </c>
    </row>
    <row r="13" customFormat="false" ht="15" hidden="false" customHeight="false" outlineLevel="0" collapsed="false">
      <c r="A13" s="21" t="s">
        <v>130</v>
      </c>
      <c r="B13" s="4" t="s">
        <v>251</v>
      </c>
      <c r="C13" s="4" t="n">
        <v>1</v>
      </c>
      <c r="D13" s="27" t="s">
        <v>400</v>
      </c>
      <c r="E13" s="9" t="s">
        <v>425</v>
      </c>
      <c r="F13" s="9" t="s">
        <v>426</v>
      </c>
      <c r="G13" s="9" t="s">
        <v>427</v>
      </c>
      <c r="H13" s="9" t="s">
        <v>425</v>
      </c>
      <c r="I13" s="9" t="s">
        <v>426</v>
      </c>
      <c r="J13" s="9" t="s">
        <v>427</v>
      </c>
      <c r="K13" s="9" t="s">
        <v>425</v>
      </c>
      <c r="L13" s="9" t="s">
        <v>426</v>
      </c>
      <c r="M13" s="9" t="s">
        <v>427</v>
      </c>
    </row>
    <row r="14" customFormat="false" ht="15" hidden="false" customHeight="false" outlineLevel="0" collapsed="false">
      <c r="A14" s="21" t="s">
        <v>131</v>
      </c>
      <c r="B14" s="4" t="s">
        <v>251</v>
      </c>
      <c r="C14" s="4" t="n">
        <v>1</v>
      </c>
      <c r="D14" s="9" t="s">
        <v>428</v>
      </c>
      <c r="E14" s="9" t="s">
        <v>429</v>
      </c>
      <c r="F14" s="9" t="s">
        <v>430</v>
      </c>
      <c r="G14" s="9" t="s">
        <v>428</v>
      </c>
      <c r="H14" s="9" t="s">
        <v>429</v>
      </c>
      <c r="I14" s="9" t="s">
        <v>430</v>
      </c>
      <c r="J14" s="27" t="s">
        <v>400</v>
      </c>
      <c r="K14" s="9" t="s">
        <v>428</v>
      </c>
      <c r="L14" s="9" t="s">
        <v>429</v>
      </c>
      <c r="M14" s="9" t="s">
        <v>430</v>
      </c>
    </row>
    <row r="15" customFormat="false" ht="15" hidden="false" customHeight="false" outlineLevel="0" collapsed="false">
      <c r="A15" s="23" t="s">
        <v>134</v>
      </c>
      <c r="B15" s="4" t="s">
        <v>251</v>
      </c>
      <c r="C15" s="4" t="n">
        <v>3</v>
      </c>
      <c r="D15" s="9" t="s">
        <v>431</v>
      </c>
      <c r="E15" s="9" t="s">
        <v>432</v>
      </c>
      <c r="F15" s="9" t="s">
        <v>433</v>
      </c>
      <c r="G15" s="9" t="s">
        <v>431</v>
      </c>
      <c r="H15" s="9" t="s">
        <v>432</v>
      </c>
      <c r="I15" s="9" t="s">
        <v>433</v>
      </c>
      <c r="J15" s="9" t="s">
        <v>431</v>
      </c>
      <c r="K15" s="9" t="s">
        <v>432</v>
      </c>
      <c r="L15" s="27" t="s">
        <v>400</v>
      </c>
      <c r="M15" s="9" t="s">
        <v>433</v>
      </c>
    </row>
    <row r="16" customFormat="false" ht="15" hidden="false" customHeight="false" outlineLevel="0" collapsed="false">
      <c r="A16" s="25" t="s">
        <v>132</v>
      </c>
      <c r="B16" s="4" t="s">
        <v>251</v>
      </c>
      <c r="C16" s="4" t="n">
        <v>5</v>
      </c>
      <c r="D16" s="27" t="s">
        <v>400</v>
      </c>
      <c r="E16" s="9" t="s">
        <v>434</v>
      </c>
      <c r="F16" s="9" t="s">
        <v>435</v>
      </c>
      <c r="G16" s="9" t="s">
        <v>436</v>
      </c>
      <c r="H16" s="9" t="s">
        <v>434</v>
      </c>
      <c r="I16" s="9" t="s">
        <v>435</v>
      </c>
      <c r="J16" s="9" t="s">
        <v>436</v>
      </c>
      <c r="K16" s="9" t="s">
        <v>434</v>
      </c>
      <c r="L16" s="9" t="s">
        <v>435</v>
      </c>
      <c r="M16" s="9" t="s">
        <v>436</v>
      </c>
    </row>
    <row r="17" customFormat="false" ht="15" hidden="false" customHeight="false" outlineLevel="0" collapsed="false">
      <c r="A17" s="25" t="s">
        <v>133</v>
      </c>
      <c r="B17" s="4" t="s">
        <v>251</v>
      </c>
      <c r="C17" s="4" t="n">
        <v>5</v>
      </c>
      <c r="D17" s="9" t="s">
        <v>437</v>
      </c>
      <c r="E17" s="9" t="s">
        <v>438</v>
      </c>
      <c r="F17" s="9" t="s">
        <v>439</v>
      </c>
      <c r="G17" s="9" t="s">
        <v>437</v>
      </c>
      <c r="H17" s="9" t="s">
        <v>438</v>
      </c>
      <c r="I17" s="9" t="s">
        <v>439</v>
      </c>
      <c r="J17" s="9" t="s">
        <v>437</v>
      </c>
      <c r="K17" s="9" t="s">
        <v>438</v>
      </c>
      <c r="L17" s="27" t="s">
        <v>400</v>
      </c>
      <c r="M17" s="9" t="s">
        <v>439</v>
      </c>
    </row>
    <row r="18" customFormat="false" ht="15" hidden="false" customHeight="false" outlineLevel="0" collapsed="false">
      <c r="A18" s="21" t="s">
        <v>138</v>
      </c>
      <c r="B18" s="4" t="s">
        <v>227</v>
      </c>
      <c r="C18" s="4" t="n">
        <v>1</v>
      </c>
      <c r="D18" s="9" t="s">
        <v>440</v>
      </c>
      <c r="E18" s="9" t="s">
        <v>441</v>
      </c>
      <c r="F18" s="27" t="s">
        <v>400</v>
      </c>
      <c r="G18" s="9" t="s">
        <v>442</v>
      </c>
      <c r="H18" s="9" t="s">
        <v>440</v>
      </c>
      <c r="I18" s="9" t="s">
        <v>441</v>
      </c>
      <c r="J18" s="9" t="s">
        <v>442</v>
      </c>
      <c r="K18" s="9" t="s">
        <v>440</v>
      </c>
      <c r="L18" s="9" t="s">
        <v>441</v>
      </c>
      <c r="M18" s="9" t="s">
        <v>442</v>
      </c>
    </row>
    <row r="19" customFormat="false" ht="15" hidden="false" customHeight="false" outlineLevel="0" collapsed="false">
      <c r="A19" s="25" t="s">
        <v>137</v>
      </c>
      <c r="B19" s="4" t="s">
        <v>227</v>
      </c>
      <c r="C19" s="4" t="n">
        <v>5</v>
      </c>
      <c r="D19" s="9" t="s">
        <v>443</v>
      </c>
      <c r="E19" s="9" t="s">
        <v>444</v>
      </c>
      <c r="F19" s="9" t="s">
        <v>445</v>
      </c>
      <c r="G19" s="9" t="s">
        <v>443</v>
      </c>
      <c r="H19" s="9" t="s">
        <v>444</v>
      </c>
      <c r="I19" s="9" t="s">
        <v>445</v>
      </c>
      <c r="J19" s="27" t="s">
        <v>400</v>
      </c>
      <c r="K19" s="9" t="s">
        <v>443</v>
      </c>
      <c r="L19" s="9" t="s">
        <v>444</v>
      </c>
      <c r="M19" s="9" t="s">
        <v>445</v>
      </c>
    </row>
    <row r="20" customFormat="false" ht="15" hidden="false" customHeight="false" outlineLevel="0" collapsed="false">
      <c r="A20" s="26" t="s">
        <v>139</v>
      </c>
      <c r="B20" s="4" t="s">
        <v>227</v>
      </c>
      <c r="C20" s="4" t="n">
        <v>6</v>
      </c>
      <c r="D20" s="9" t="s">
        <v>446</v>
      </c>
      <c r="E20" s="27" t="s">
        <v>400</v>
      </c>
      <c r="F20" s="9" t="s">
        <v>447</v>
      </c>
      <c r="G20" s="9" t="s">
        <v>448</v>
      </c>
      <c r="H20" s="9" t="s">
        <v>446</v>
      </c>
      <c r="I20" s="9" t="s">
        <v>447</v>
      </c>
      <c r="J20" s="9" t="s">
        <v>448</v>
      </c>
      <c r="K20" s="9" t="s">
        <v>446</v>
      </c>
      <c r="L20" s="9" t="s">
        <v>447</v>
      </c>
      <c r="M20" s="9" t="s">
        <v>448</v>
      </c>
    </row>
    <row r="21" customFormat="false" ht="15" hidden="false" customHeight="false" outlineLevel="0" collapsed="false">
      <c r="A21" s="22" t="s">
        <v>142</v>
      </c>
      <c r="B21" s="4" t="s">
        <v>247</v>
      </c>
      <c r="C21" s="4" t="n">
        <v>2</v>
      </c>
      <c r="D21" s="9" t="s">
        <v>449</v>
      </c>
      <c r="E21" s="9" t="s">
        <v>450</v>
      </c>
      <c r="F21" s="9" t="s">
        <v>451</v>
      </c>
      <c r="G21" s="9" t="s">
        <v>449</v>
      </c>
      <c r="H21" s="9" t="s">
        <v>450</v>
      </c>
      <c r="I21" s="9" t="s">
        <v>451</v>
      </c>
      <c r="J21" s="9" t="s">
        <v>449</v>
      </c>
      <c r="K21" s="27" t="s">
        <v>400</v>
      </c>
      <c r="L21" s="9" t="s">
        <v>450</v>
      </c>
      <c r="M21" s="9" t="s">
        <v>451</v>
      </c>
    </row>
    <row r="22" customFormat="false" ht="15" hidden="false" customHeight="false" outlineLevel="0" collapsed="false">
      <c r="A22" s="24" t="s">
        <v>141</v>
      </c>
      <c r="B22" s="4" t="s">
        <v>247</v>
      </c>
      <c r="C22" s="4" t="n">
        <v>4</v>
      </c>
      <c r="D22" s="9" t="s">
        <v>452</v>
      </c>
      <c r="E22" s="27" t="s">
        <v>400</v>
      </c>
      <c r="F22" s="9" t="s">
        <v>453</v>
      </c>
      <c r="G22" s="9" t="s">
        <v>454</v>
      </c>
      <c r="H22" s="9" t="s">
        <v>452</v>
      </c>
      <c r="I22" s="9" t="s">
        <v>453</v>
      </c>
      <c r="J22" s="9" t="s">
        <v>454</v>
      </c>
      <c r="K22" s="9" t="s">
        <v>452</v>
      </c>
      <c r="L22" s="9" t="s">
        <v>453</v>
      </c>
      <c r="M22" s="9" t="s">
        <v>454</v>
      </c>
    </row>
    <row r="23" customFormat="false" ht="15" hidden="false" customHeight="false" outlineLevel="0" collapsed="false">
      <c r="A23" s="21" t="s">
        <v>148</v>
      </c>
      <c r="B23" s="4" t="s">
        <v>252</v>
      </c>
      <c r="C23" s="4" t="n">
        <v>1</v>
      </c>
      <c r="D23" s="9" t="s">
        <v>455</v>
      </c>
      <c r="E23" s="9" t="s">
        <v>456</v>
      </c>
      <c r="F23" s="9" t="s">
        <v>457</v>
      </c>
      <c r="G23" s="9" t="s">
        <v>455</v>
      </c>
      <c r="H23" s="9" t="s">
        <v>456</v>
      </c>
      <c r="I23" s="9" t="s">
        <v>457</v>
      </c>
      <c r="J23" s="9" t="s">
        <v>455</v>
      </c>
      <c r="K23" s="27" t="s">
        <v>400</v>
      </c>
      <c r="L23" s="9" t="s">
        <v>456</v>
      </c>
      <c r="M23" s="9" t="s">
        <v>457</v>
      </c>
    </row>
    <row r="24" customFormat="false" ht="15" hidden="false" customHeight="false" outlineLevel="0" collapsed="false">
      <c r="A24" s="21" t="s">
        <v>149</v>
      </c>
      <c r="B24" s="4" t="s">
        <v>252</v>
      </c>
      <c r="C24" s="4" t="n">
        <v>1</v>
      </c>
      <c r="D24" s="9" t="s">
        <v>458</v>
      </c>
      <c r="E24" s="9" t="s">
        <v>459</v>
      </c>
      <c r="F24" s="9" t="s">
        <v>460</v>
      </c>
      <c r="G24" s="27" t="s">
        <v>400</v>
      </c>
      <c r="H24" s="9" t="s">
        <v>458</v>
      </c>
      <c r="I24" s="9" t="s">
        <v>459</v>
      </c>
      <c r="J24" s="9" t="s">
        <v>460</v>
      </c>
      <c r="K24" s="9" t="s">
        <v>458</v>
      </c>
      <c r="L24" s="9" t="s">
        <v>459</v>
      </c>
      <c r="M24" s="9" t="s">
        <v>460</v>
      </c>
    </row>
    <row r="25" customFormat="false" ht="15" hidden="false" customHeight="false" outlineLevel="0" collapsed="false">
      <c r="A25" s="22" t="s">
        <v>144</v>
      </c>
      <c r="B25" s="4" t="s">
        <v>252</v>
      </c>
      <c r="C25" s="4" t="n">
        <v>2</v>
      </c>
      <c r="D25" s="9" t="s">
        <v>461</v>
      </c>
      <c r="E25" s="9" t="s">
        <v>462</v>
      </c>
      <c r="F25" s="9" t="s">
        <v>463</v>
      </c>
      <c r="G25" s="27" t="s">
        <v>400</v>
      </c>
      <c r="H25" s="9" t="s">
        <v>461</v>
      </c>
      <c r="I25" s="9" t="s">
        <v>462</v>
      </c>
      <c r="J25" s="9" t="s">
        <v>463</v>
      </c>
      <c r="K25" s="9" t="s">
        <v>461</v>
      </c>
      <c r="L25" s="9" t="s">
        <v>462</v>
      </c>
      <c r="M25" s="9" t="s">
        <v>463</v>
      </c>
    </row>
    <row r="26" customFormat="false" ht="15" hidden="false" customHeight="false" outlineLevel="0" collapsed="false">
      <c r="A26" s="22" t="s">
        <v>147</v>
      </c>
      <c r="B26" s="4" t="s">
        <v>252</v>
      </c>
      <c r="C26" s="4" t="n">
        <v>2</v>
      </c>
      <c r="D26" s="9" t="s">
        <v>464</v>
      </c>
      <c r="E26" s="9" t="s">
        <v>465</v>
      </c>
      <c r="F26" s="9" t="s">
        <v>466</v>
      </c>
      <c r="G26" s="9" t="s">
        <v>464</v>
      </c>
      <c r="H26" s="9" t="s">
        <v>465</v>
      </c>
      <c r="I26" s="9" t="s">
        <v>466</v>
      </c>
      <c r="J26" s="9" t="s">
        <v>464</v>
      </c>
      <c r="K26" s="9" t="s">
        <v>465</v>
      </c>
      <c r="L26" s="9" t="s">
        <v>466</v>
      </c>
      <c r="M26" s="27" t="s">
        <v>400</v>
      </c>
    </row>
    <row r="27" customFormat="false" ht="15" hidden="false" customHeight="false" outlineLevel="0" collapsed="false">
      <c r="A27" s="23" t="s">
        <v>146</v>
      </c>
      <c r="B27" s="4" t="s">
        <v>252</v>
      </c>
      <c r="C27" s="4" t="n">
        <v>3</v>
      </c>
      <c r="D27" s="9" t="s">
        <v>467</v>
      </c>
      <c r="E27" s="9" t="s">
        <v>468</v>
      </c>
      <c r="F27" s="9" t="s">
        <v>469</v>
      </c>
      <c r="G27" s="9" t="s">
        <v>467</v>
      </c>
      <c r="H27" s="9" t="s">
        <v>468</v>
      </c>
      <c r="I27" s="27" t="s">
        <v>400</v>
      </c>
      <c r="J27" s="9" t="s">
        <v>469</v>
      </c>
      <c r="K27" s="9" t="s">
        <v>467</v>
      </c>
      <c r="L27" s="9" t="s">
        <v>468</v>
      </c>
      <c r="M27" s="9" t="s">
        <v>469</v>
      </c>
    </row>
    <row r="28" customFormat="false" ht="15" hidden="false" customHeight="false" outlineLevel="0" collapsed="false">
      <c r="A28" s="24" t="s">
        <v>145</v>
      </c>
      <c r="B28" s="4" t="s">
        <v>252</v>
      </c>
      <c r="C28" s="4" t="n">
        <v>4</v>
      </c>
      <c r="D28" s="9" t="s">
        <v>470</v>
      </c>
      <c r="E28" s="9" t="s">
        <v>471</v>
      </c>
      <c r="F28" s="9" t="s">
        <v>472</v>
      </c>
      <c r="G28" s="9" t="s">
        <v>470</v>
      </c>
      <c r="H28" s="9" t="s">
        <v>471</v>
      </c>
      <c r="I28" s="9" t="s">
        <v>472</v>
      </c>
      <c r="J28" s="9" t="s">
        <v>470</v>
      </c>
      <c r="K28" s="9" t="s">
        <v>471</v>
      </c>
      <c r="L28" s="27" t="s">
        <v>400</v>
      </c>
      <c r="M28" s="9" t="s">
        <v>472</v>
      </c>
    </row>
    <row r="29" customFormat="false" ht="15" hidden="false" customHeight="false" outlineLevel="0" collapsed="false">
      <c r="A29" s="24" t="s">
        <v>151</v>
      </c>
      <c r="B29" s="4" t="s">
        <v>252</v>
      </c>
      <c r="C29" s="4" t="n">
        <v>4</v>
      </c>
      <c r="D29" s="9" t="s">
        <v>473</v>
      </c>
      <c r="E29" s="9" t="s">
        <v>474</v>
      </c>
      <c r="F29" s="9" t="s">
        <v>475</v>
      </c>
      <c r="G29" s="9" t="s">
        <v>473</v>
      </c>
      <c r="H29" s="9" t="s">
        <v>474</v>
      </c>
      <c r="I29" s="9" t="s">
        <v>475</v>
      </c>
      <c r="J29" s="27" t="s">
        <v>400</v>
      </c>
      <c r="K29" s="9" t="s">
        <v>473</v>
      </c>
      <c r="L29" s="9" t="s">
        <v>474</v>
      </c>
      <c r="M29" s="9" t="s">
        <v>475</v>
      </c>
    </row>
    <row r="30" customFormat="false" ht="15" hidden="false" customHeight="false" outlineLevel="0" collapsed="false">
      <c r="A30" s="25" t="s">
        <v>150</v>
      </c>
      <c r="B30" s="4" t="s">
        <v>252</v>
      </c>
      <c r="C30" s="4" t="n">
        <v>5</v>
      </c>
      <c r="D30" s="9" t="s">
        <v>476</v>
      </c>
      <c r="E30" s="9" t="s">
        <v>477</v>
      </c>
      <c r="F30" s="9" t="s">
        <v>478</v>
      </c>
      <c r="G30" s="9" t="s">
        <v>476</v>
      </c>
      <c r="H30" s="27" t="s">
        <v>400</v>
      </c>
      <c r="I30" s="9" t="s">
        <v>477</v>
      </c>
      <c r="J30" s="9" t="s">
        <v>478</v>
      </c>
      <c r="K30" s="9" t="s">
        <v>476</v>
      </c>
      <c r="L30" s="9" t="s">
        <v>477</v>
      </c>
      <c r="M30" s="9" t="s">
        <v>478</v>
      </c>
    </row>
    <row r="31" customFormat="false" ht="15" hidden="false" customHeight="false" outlineLevel="0" collapsed="false">
      <c r="A31" s="21" t="s">
        <v>159</v>
      </c>
      <c r="B31" s="4" t="s">
        <v>296</v>
      </c>
      <c r="C31" s="4" t="n">
        <v>1</v>
      </c>
      <c r="D31" s="9" t="s">
        <v>479</v>
      </c>
      <c r="E31" s="9" t="s">
        <v>480</v>
      </c>
      <c r="F31" s="9" t="s">
        <v>481</v>
      </c>
      <c r="G31" s="9" t="s">
        <v>479</v>
      </c>
      <c r="H31" s="9" t="s">
        <v>480</v>
      </c>
      <c r="I31" s="9" t="s">
        <v>481</v>
      </c>
      <c r="J31" s="9" t="s">
        <v>479</v>
      </c>
      <c r="K31" s="9" t="s">
        <v>480</v>
      </c>
      <c r="L31" s="9" t="s">
        <v>481</v>
      </c>
      <c r="M31" s="27" t="s">
        <v>400</v>
      </c>
    </row>
    <row r="32" customFormat="false" ht="15" hidden="false" customHeight="false" outlineLevel="0" collapsed="false">
      <c r="A32" s="21" t="s">
        <v>160</v>
      </c>
      <c r="B32" s="4" t="s">
        <v>296</v>
      </c>
      <c r="C32" s="4" t="n">
        <v>1</v>
      </c>
      <c r="D32" s="9" t="s">
        <v>482</v>
      </c>
      <c r="E32" s="9" t="s">
        <v>483</v>
      </c>
      <c r="F32" s="9" t="s">
        <v>484</v>
      </c>
      <c r="G32" s="9" t="s">
        <v>482</v>
      </c>
      <c r="H32" s="9" t="s">
        <v>483</v>
      </c>
      <c r="I32" s="27" t="s">
        <v>400</v>
      </c>
      <c r="J32" s="9" t="s">
        <v>484</v>
      </c>
      <c r="K32" s="9" t="s">
        <v>482</v>
      </c>
      <c r="L32" s="9" t="s">
        <v>483</v>
      </c>
      <c r="M32" s="9" t="s">
        <v>484</v>
      </c>
    </row>
    <row r="33" customFormat="false" ht="15" hidden="false" customHeight="false" outlineLevel="0" collapsed="false">
      <c r="A33" s="23" t="s">
        <v>161</v>
      </c>
      <c r="B33" s="4" t="s">
        <v>296</v>
      </c>
      <c r="C33" s="4" t="n">
        <v>3</v>
      </c>
      <c r="D33" s="9" t="s">
        <v>485</v>
      </c>
      <c r="E33" s="9" t="s">
        <v>486</v>
      </c>
      <c r="F33" s="9" t="s">
        <v>487</v>
      </c>
      <c r="G33" s="27" t="s">
        <v>400</v>
      </c>
      <c r="H33" s="9" t="s">
        <v>485</v>
      </c>
      <c r="I33" s="9" t="s">
        <v>486</v>
      </c>
      <c r="J33" s="9" t="s">
        <v>487</v>
      </c>
      <c r="K33" s="9" t="s">
        <v>485</v>
      </c>
      <c r="L33" s="9" t="s">
        <v>486</v>
      </c>
      <c r="M33" s="9" t="s">
        <v>487</v>
      </c>
    </row>
    <row r="34" customFormat="false" ht="15" hidden="false" customHeight="false" outlineLevel="0" collapsed="false">
      <c r="A34" s="23" t="s">
        <v>163</v>
      </c>
      <c r="B34" s="4" t="s">
        <v>296</v>
      </c>
      <c r="C34" s="4" t="n">
        <v>3</v>
      </c>
      <c r="D34" s="9" t="s">
        <v>488</v>
      </c>
      <c r="E34" s="27" t="s">
        <v>400</v>
      </c>
      <c r="F34" s="9" t="s">
        <v>489</v>
      </c>
      <c r="G34" s="9" t="s">
        <v>490</v>
      </c>
      <c r="H34" s="9" t="s">
        <v>488</v>
      </c>
      <c r="I34" s="9" t="s">
        <v>489</v>
      </c>
      <c r="J34" s="9" t="s">
        <v>490</v>
      </c>
      <c r="K34" s="9" t="s">
        <v>488</v>
      </c>
      <c r="L34" s="9" t="s">
        <v>489</v>
      </c>
      <c r="M34" s="9" t="s">
        <v>490</v>
      </c>
    </row>
    <row r="35" customFormat="false" ht="15" hidden="false" customHeight="false" outlineLevel="0" collapsed="false">
      <c r="A35" s="24" t="s">
        <v>157</v>
      </c>
      <c r="B35" s="4" t="s">
        <v>296</v>
      </c>
      <c r="C35" s="4" t="n">
        <v>4</v>
      </c>
      <c r="D35" s="9" t="s">
        <v>491</v>
      </c>
      <c r="E35" s="9" t="s">
        <v>492</v>
      </c>
      <c r="F35" s="9" t="s">
        <v>493</v>
      </c>
      <c r="G35" s="9" t="s">
        <v>491</v>
      </c>
      <c r="H35" s="27" t="s">
        <v>400</v>
      </c>
      <c r="I35" s="9" t="s">
        <v>492</v>
      </c>
      <c r="J35" s="9" t="s">
        <v>493</v>
      </c>
      <c r="K35" s="9" t="s">
        <v>491</v>
      </c>
      <c r="L35" s="9" t="s">
        <v>492</v>
      </c>
      <c r="M35" s="9" t="s">
        <v>493</v>
      </c>
    </row>
    <row r="36" customFormat="false" ht="15" hidden="false" customHeight="false" outlineLevel="0" collapsed="false">
      <c r="A36" s="24" t="s">
        <v>164</v>
      </c>
      <c r="B36" s="4" t="s">
        <v>296</v>
      </c>
      <c r="C36" s="4" t="n">
        <v>4</v>
      </c>
      <c r="D36" s="9" t="s">
        <v>494</v>
      </c>
      <c r="E36" s="9" t="s">
        <v>495</v>
      </c>
      <c r="F36" s="27" t="s">
        <v>400</v>
      </c>
      <c r="G36" s="9" t="s">
        <v>496</v>
      </c>
      <c r="H36" s="9" t="s">
        <v>494</v>
      </c>
      <c r="I36" s="9" t="s">
        <v>495</v>
      </c>
      <c r="J36" s="9" t="s">
        <v>496</v>
      </c>
      <c r="K36" s="9" t="s">
        <v>494</v>
      </c>
      <c r="L36" s="9" t="s">
        <v>495</v>
      </c>
      <c r="M36" s="9" t="s">
        <v>496</v>
      </c>
    </row>
    <row r="37" customFormat="false" ht="15" hidden="false" customHeight="false" outlineLevel="0" collapsed="false">
      <c r="A37" s="24" t="s">
        <v>158</v>
      </c>
      <c r="B37" s="4" t="s">
        <v>296</v>
      </c>
      <c r="C37" s="4" t="n">
        <v>4</v>
      </c>
      <c r="D37" s="9" t="s">
        <v>497</v>
      </c>
      <c r="E37" s="9" t="s">
        <v>498</v>
      </c>
      <c r="F37" s="9" t="s">
        <v>499</v>
      </c>
      <c r="G37" s="9" t="s">
        <v>497</v>
      </c>
      <c r="H37" s="9" t="s">
        <v>498</v>
      </c>
      <c r="I37" s="9" t="s">
        <v>499</v>
      </c>
      <c r="J37" s="9" t="s">
        <v>497</v>
      </c>
      <c r="K37" s="9" t="s">
        <v>498</v>
      </c>
      <c r="L37" s="9" t="s">
        <v>499</v>
      </c>
      <c r="M37" s="27" t="s">
        <v>400</v>
      </c>
    </row>
    <row r="38" customFormat="false" ht="15" hidden="false" customHeight="false" outlineLevel="0" collapsed="false">
      <c r="A38" s="25" t="s">
        <v>162</v>
      </c>
      <c r="B38" s="4" t="s">
        <v>296</v>
      </c>
      <c r="C38" s="4" t="n">
        <v>5</v>
      </c>
      <c r="D38" s="9" t="s">
        <v>500</v>
      </c>
      <c r="E38" s="27" t="s">
        <v>400</v>
      </c>
      <c r="F38" s="9" t="s">
        <v>501</v>
      </c>
      <c r="G38" s="9" t="s">
        <v>502</v>
      </c>
      <c r="H38" s="9" t="s">
        <v>500</v>
      </c>
      <c r="I38" s="9" t="s">
        <v>501</v>
      </c>
      <c r="J38" s="9" t="s">
        <v>502</v>
      </c>
      <c r="K38" s="9" t="s">
        <v>500</v>
      </c>
      <c r="L38" s="9" t="s">
        <v>501</v>
      </c>
      <c r="M38" s="9" t="s">
        <v>502</v>
      </c>
    </row>
    <row r="39" customFormat="false" ht="15" hidden="false" customHeight="false" outlineLevel="0" collapsed="false">
      <c r="A39" s="22" t="s">
        <v>166</v>
      </c>
      <c r="B39" s="4" t="s">
        <v>323</v>
      </c>
      <c r="C39" s="4" t="n">
        <v>2</v>
      </c>
      <c r="D39" s="9" t="s">
        <v>503</v>
      </c>
      <c r="E39" s="9" t="s">
        <v>504</v>
      </c>
      <c r="F39" s="9" t="s">
        <v>505</v>
      </c>
      <c r="G39" s="9" t="s">
        <v>503</v>
      </c>
      <c r="H39" s="9" t="s">
        <v>504</v>
      </c>
      <c r="I39" s="27" t="s">
        <v>400</v>
      </c>
      <c r="J39" s="9" t="s">
        <v>505</v>
      </c>
      <c r="K39" s="9" t="s">
        <v>503</v>
      </c>
      <c r="L39" s="9" t="s">
        <v>504</v>
      </c>
      <c r="M39" s="9" t="s">
        <v>505</v>
      </c>
    </row>
    <row r="40" customFormat="false" ht="15" hidden="false" customHeight="false" outlineLevel="0" collapsed="false">
      <c r="A40" s="21" t="s">
        <v>169</v>
      </c>
      <c r="B40" s="4" t="s">
        <v>326</v>
      </c>
      <c r="C40" s="4" t="n">
        <v>1</v>
      </c>
      <c r="D40" s="9" t="s">
        <v>506</v>
      </c>
      <c r="E40" s="27" t="s">
        <v>400</v>
      </c>
      <c r="F40" s="9" t="s">
        <v>507</v>
      </c>
      <c r="G40" s="9" t="s">
        <v>508</v>
      </c>
      <c r="H40" s="9" t="s">
        <v>506</v>
      </c>
      <c r="I40" s="9" t="s">
        <v>507</v>
      </c>
      <c r="J40" s="9" t="s">
        <v>508</v>
      </c>
      <c r="K40" s="9" t="s">
        <v>506</v>
      </c>
      <c r="L40" s="9" t="s">
        <v>507</v>
      </c>
      <c r="M40" s="9" t="s">
        <v>508</v>
      </c>
    </row>
    <row r="41" customFormat="false" ht="15" hidden="false" customHeight="false" outlineLevel="0" collapsed="false">
      <c r="A41" s="24" t="s">
        <v>168</v>
      </c>
      <c r="B41" s="4" t="s">
        <v>326</v>
      </c>
      <c r="C41" s="4" t="n">
        <v>4</v>
      </c>
      <c r="D41" s="9" t="s">
        <v>509</v>
      </c>
      <c r="E41" s="9" t="s">
        <v>510</v>
      </c>
      <c r="F41" s="9" t="s">
        <v>511</v>
      </c>
      <c r="G41" s="9" t="s">
        <v>509</v>
      </c>
      <c r="H41" s="9" t="s">
        <v>510</v>
      </c>
      <c r="I41" s="9" t="s">
        <v>511</v>
      </c>
      <c r="J41" s="9" t="s">
        <v>509</v>
      </c>
      <c r="K41" s="27" t="s">
        <v>400</v>
      </c>
      <c r="L41" s="9" t="s">
        <v>510</v>
      </c>
      <c r="M41" s="9" t="s">
        <v>511</v>
      </c>
    </row>
    <row r="42" customFormat="false" ht="15" hidden="false" customHeight="false" outlineLevel="0" collapsed="false">
      <c r="A42" s="24" t="s">
        <v>170</v>
      </c>
      <c r="B42" s="4" t="s">
        <v>326</v>
      </c>
      <c r="C42" s="4" t="n">
        <v>4</v>
      </c>
      <c r="D42" s="9" t="s">
        <v>512</v>
      </c>
      <c r="E42" s="9" t="s">
        <v>513</v>
      </c>
      <c r="F42" s="9" t="s">
        <v>514</v>
      </c>
      <c r="G42" s="9" t="s">
        <v>512</v>
      </c>
      <c r="H42" s="9" t="s">
        <v>513</v>
      </c>
      <c r="I42" s="27" t="s">
        <v>400</v>
      </c>
      <c r="J42" s="9" t="s">
        <v>514</v>
      </c>
      <c r="K42" s="9" t="s">
        <v>512</v>
      </c>
      <c r="L42" s="9" t="s">
        <v>513</v>
      </c>
      <c r="M42" s="9" t="s">
        <v>514</v>
      </c>
    </row>
    <row r="43" customFormat="false" ht="15" hidden="false" customHeight="false" outlineLevel="0" collapsed="false">
      <c r="A43" s="23" t="s">
        <v>172</v>
      </c>
      <c r="B43" s="4" t="s">
        <v>334</v>
      </c>
      <c r="C43" s="4" t="n">
        <v>3</v>
      </c>
      <c r="D43" s="9" t="s">
        <v>515</v>
      </c>
      <c r="E43" s="9" t="s">
        <v>516</v>
      </c>
      <c r="F43" s="9" t="s">
        <v>517</v>
      </c>
      <c r="G43" s="9" t="s">
        <v>515</v>
      </c>
      <c r="H43" s="9" t="s">
        <v>516</v>
      </c>
      <c r="I43" s="9" t="s">
        <v>517</v>
      </c>
      <c r="J43" s="9" t="s">
        <v>515</v>
      </c>
      <c r="K43" s="9" t="s">
        <v>516</v>
      </c>
      <c r="L43" s="9" t="s">
        <v>517</v>
      </c>
      <c r="M43" s="27" t="s">
        <v>400</v>
      </c>
    </row>
    <row r="44" customFormat="false" ht="15" hidden="false" customHeight="false" outlineLevel="0" collapsed="false">
      <c r="A44" s="21" t="s">
        <v>174</v>
      </c>
      <c r="B44" s="4" t="s">
        <v>297</v>
      </c>
      <c r="C44" s="4" t="n">
        <v>1</v>
      </c>
      <c r="D44" s="9" t="s">
        <v>518</v>
      </c>
      <c r="E44" s="9" t="s">
        <v>519</v>
      </c>
      <c r="F44" s="9" t="s">
        <v>520</v>
      </c>
      <c r="G44" s="9" t="s">
        <v>518</v>
      </c>
      <c r="H44" s="9" t="s">
        <v>519</v>
      </c>
      <c r="I44" s="9" t="s">
        <v>520</v>
      </c>
      <c r="J44" s="27" t="s">
        <v>400</v>
      </c>
      <c r="K44" s="9" t="s">
        <v>518</v>
      </c>
      <c r="L44" s="9" t="s">
        <v>519</v>
      </c>
      <c r="M44" s="9" t="s">
        <v>520</v>
      </c>
    </row>
    <row r="45" customFormat="false" ht="15" hidden="false" customHeight="false" outlineLevel="0" collapsed="false">
      <c r="A45" s="21" t="s">
        <v>178</v>
      </c>
      <c r="B45" s="4" t="s">
        <v>297</v>
      </c>
      <c r="C45" s="4" t="n">
        <v>1</v>
      </c>
      <c r="D45" s="9" t="s">
        <v>521</v>
      </c>
      <c r="E45" s="9" t="s">
        <v>522</v>
      </c>
      <c r="F45" s="9" t="s">
        <v>523</v>
      </c>
      <c r="G45" s="27" t="s">
        <v>400</v>
      </c>
      <c r="H45" s="9" t="s">
        <v>521</v>
      </c>
      <c r="I45" s="9" t="s">
        <v>522</v>
      </c>
      <c r="J45" s="9" t="s">
        <v>523</v>
      </c>
      <c r="K45" s="9" t="s">
        <v>521</v>
      </c>
      <c r="L45" s="9" t="s">
        <v>522</v>
      </c>
      <c r="M45" s="9" t="s">
        <v>523</v>
      </c>
    </row>
    <row r="46" customFormat="false" ht="15" hidden="false" customHeight="false" outlineLevel="0" collapsed="false">
      <c r="A46" s="22" t="s">
        <v>181</v>
      </c>
      <c r="B46" s="4" t="s">
        <v>297</v>
      </c>
      <c r="C46" s="4" t="n">
        <v>2</v>
      </c>
      <c r="D46" s="27" t="s">
        <v>400</v>
      </c>
      <c r="E46" s="9" t="s">
        <v>524</v>
      </c>
      <c r="F46" s="9" t="s">
        <v>525</v>
      </c>
      <c r="G46" s="9" t="s">
        <v>526</v>
      </c>
      <c r="H46" s="9" t="s">
        <v>524</v>
      </c>
      <c r="I46" s="9" t="s">
        <v>525</v>
      </c>
      <c r="J46" s="9" t="s">
        <v>526</v>
      </c>
      <c r="K46" s="9" t="s">
        <v>524</v>
      </c>
      <c r="L46" s="9" t="s">
        <v>525</v>
      </c>
      <c r="M46" s="9" t="s">
        <v>526</v>
      </c>
    </row>
    <row r="47" customFormat="false" ht="15" hidden="false" customHeight="false" outlineLevel="0" collapsed="false">
      <c r="A47" s="23" t="s">
        <v>176</v>
      </c>
      <c r="B47" s="4" t="s">
        <v>297</v>
      </c>
      <c r="C47" s="4" t="n">
        <v>3</v>
      </c>
      <c r="D47" s="9" t="s">
        <v>527</v>
      </c>
      <c r="E47" s="9" t="s">
        <v>528</v>
      </c>
      <c r="F47" s="9" t="s">
        <v>529</v>
      </c>
      <c r="G47" s="9" t="s">
        <v>527</v>
      </c>
      <c r="H47" s="9" t="s">
        <v>528</v>
      </c>
      <c r="I47" s="9" t="s">
        <v>529</v>
      </c>
      <c r="J47" s="27" t="s">
        <v>400</v>
      </c>
      <c r="K47" s="9" t="s">
        <v>527</v>
      </c>
      <c r="L47" s="9" t="s">
        <v>528</v>
      </c>
      <c r="M47" s="9" t="s">
        <v>529</v>
      </c>
    </row>
    <row r="48" customFormat="false" ht="15" hidden="false" customHeight="false" outlineLevel="0" collapsed="false">
      <c r="A48" s="25" t="s">
        <v>180</v>
      </c>
      <c r="B48" s="4" t="s">
        <v>297</v>
      </c>
      <c r="C48" s="4" t="n">
        <v>5</v>
      </c>
      <c r="D48" s="9" t="s">
        <v>530</v>
      </c>
      <c r="E48" s="9" t="s">
        <v>531</v>
      </c>
      <c r="F48" s="9" t="s">
        <v>532</v>
      </c>
      <c r="G48" s="9" t="s">
        <v>530</v>
      </c>
      <c r="H48" s="9" t="s">
        <v>531</v>
      </c>
      <c r="I48" s="9" t="s">
        <v>532</v>
      </c>
      <c r="J48" s="9" t="s">
        <v>530</v>
      </c>
      <c r="K48" s="9" t="s">
        <v>531</v>
      </c>
      <c r="L48" s="9" t="s">
        <v>532</v>
      </c>
      <c r="M48" s="27" t="s">
        <v>400</v>
      </c>
    </row>
    <row r="49" customFormat="false" ht="15" hidden="false" customHeight="false" outlineLevel="0" collapsed="false">
      <c r="A49" s="25" t="s">
        <v>179</v>
      </c>
      <c r="B49" s="4" t="s">
        <v>297</v>
      </c>
      <c r="C49" s="4" t="n">
        <v>5</v>
      </c>
      <c r="D49" s="9" t="s">
        <v>533</v>
      </c>
      <c r="E49" s="9" t="s">
        <v>534</v>
      </c>
      <c r="F49" s="9" t="s">
        <v>535</v>
      </c>
      <c r="G49" s="9" t="s">
        <v>533</v>
      </c>
      <c r="H49" s="9" t="s">
        <v>534</v>
      </c>
      <c r="I49" s="9" t="s">
        <v>535</v>
      </c>
      <c r="J49" s="9" t="s">
        <v>533</v>
      </c>
      <c r="K49" s="27" t="s">
        <v>400</v>
      </c>
      <c r="L49" s="9" t="s">
        <v>534</v>
      </c>
      <c r="M49" s="9" t="s">
        <v>535</v>
      </c>
    </row>
    <row r="50" customFormat="false" ht="15" hidden="false" customHeight="false" outlineLevel="0" collapsed="false">
      <c r="A50" s="26" t="s">
        <v>175</v>
      </c>
      <c r="B50" s="4" t="s">
        <v>297</v>
      </c>
      <c r="C50" s="4" t="n">
        <v>6</v>
      </c>
      <c r="D50" s="9" t="s">
        <v>536</v>
      </c>
      <c r="E50" s="9" t="s">
        <v>537</v>
      </c>
      <c r="F50" s="9" t="s">
        <v>538</v>
      </c>
      <c r="G50" s="9" t="s">
        <v>536</v>
      </c>
      <c r="H50" s="9" t="s">
        <v>537</v>
      </c>
      <c r="I50" s="9" t="s">
        <v>538</v>
      </c>
      <c r="J50" s="9" t="s">
        <v>536</v>
      </c>
      <c r="K50" s="9" t="s">
        <v>537</v>
      </c>
      <c r="L50" s="9" t="s">
        <v>538</v>
      </c>
      <c r="M50" s="27" t="s">
        <v>400</v>
      </c>
    </row>
    <row r="51" customFormat="false" ht="15" hidden="false" customHeight="false" outlineLevel="0" collapsed="false">
      <c r="A51" s="26" t="s">
        <v>177</v>
      </c>
      <c r="B51" s="4" t="s">
        <v>297</v>
      </c>
      <c r="C51" s="4" t="n">
        <v>6</v>
      </c>
      <c r="D51" s="9" t="s">
        <v>539</v>
      </c>
      <c r="E51" s="9" t="s">
        <v>540</v>
      </c>
      <c r="F51" s="9" t="s">
        <v>541</v>
      </c>
      <c r="G51" s="9" t="s">
        <v>539</v>
      </c>
      <c r="H51" s="9" t="s">
        <v>540</v>
      </c>
      <c r="I51" s="9" t="s">
        <v>541</v>
      </c>
      <c r="J51" s="9" t="s">
        <v>539</v>
      </c>
      <c r="K51" s="27" t="s">
        <v>400</v>
      </c>
      <c r="L51" s="9" t="s">
        <v>540</v>
      </c>
      <c r="M51" s="9" t="s">
        <v>541</v>
      </c>
    </row>
    <row r="52" customFormat="false" ht="15" hidden="false" customHeight="false" outlineLevel="0" collapsed="false">
      <c r="A52" s="21" t="s">
        <v>185</v>
      </c>
      <c r="B52" s="4" t="s">
        <v>327</v>
      </c>
      <c r="C52" s="4" t="n">
        <v>1</v>
      </c>
      <c r="D52" s="9" t="s">
        <v>542</v>
      </c>
      <c r="E52" s="9" t="s">
        <v>543</v>
      </c>
      <c r="F52" s="9" t="s">
        <v>544</v>
      </c>
      <c r="G52" s="9" t="s">
        <v>542</v>
      </c>
      <c r="H52" s="9" t="s">
        <v>543</v>
      </c>
      <c r="I52" s="9" t="s">
        <v>544</v>
      </c>
      <c r="J52" s="9" t="s">
        <v>542</v>
      </c>
      <c r="K52" s="9" t="s">
        <v>543</v>
      </c>
      <c r="L52" s="27" t="s">
        <v>400</v>
      </c>
      <c r="M52" s="9" t="s">
        <v>544</v>
      </c>
    </row>
    <row r="53" customFormat="false" ht="15" hidden="false" customHeight="false" outlineLevel="0" collapsed="false">
      <c r="A53" s="22" t="s">
        <v>184</v>
      </c>
      <c r="B53" s="4" t="s">
        <v>327</v>
      </c>
      <c r="C53" s="4" t="n">
        <v>2</v>
      </c>
      <c r="D53" s="9" t="s">
        <v>545</v>
      </c>
      <c r="E53" s="9" t="s">
        <v>546</v>
      </c>
      <c r="F53" s="9" t="s">
        <v>547</v>
      </c>
      <c r="G53" s="9" t="s">
        <v>545</v>
      </c>
      <c r="H53" s="9" t="s">
        <v>546</v>
      </c>
      <c r="I53" s="9" t="s">
        <v>547</v>
      </c>
      <c r="J53" s="9" t="s">
        <v>545</v>
      </c>
      <c r="K53" s="27" t="s">
        <v>400</v>
      </c>
      <c r="L53" s="9" t="s">
        <v>546</v>
      </c>
      <c r="M53" s="9" t="s">
        <v>547</v>
      </c>
    </row>
    <row r="54" customFormat="false" ht="15" hidden="false" customHeight="false" outlineLevel="0" collapsed="false">
      <c r="A54" s="21" t="s">
        <v>188</v>
      </c>
      <c r="B54" s="4" t="s">
        <v>335</v>
      </c>
      <c r="C54" s="4" t="n">
        <v>1</v>
      </c>
      <c r="D54" s="9" t="s">
        <v>548</v>
      </c>
      <c r="E54" s="9" t="s">
        <v>549</v>
      </c>
      <c r="F54" s="9" t="s">
        <v>550</v>
      </c>
      <c r="G54" s="9" t="s">
        <v>548</v>
      </c>
      <c r="H54" s="27" t="s">
        <v>400</v>
      </c>
      <c r="I54" s="9" t="s">
        <v>549</v>
      </c>
      <c r="J54" s="9" t="s">
        <v>550</v>
      </c>
      <c r="K54" s="9" t="s">
        <v>548</v>
      </c>
      <c r="L54" s="9" t="s">
        <v>549</v>
      </c>
      <c r="M54" s="9" t="s">
        <v>550</v>
      </c>
    </row>
    <row r="55" customFormat="false" ht="15" hidden="false" customHeight="false" outlineLevel="0" collapsed="false">
      <c r="A55" s="22" t="s">
        <v>187</v>
      </c>
      <c r="B55" s="4" t="s">
        <v>335</v>
      </c>
      <c r="C55" s="4" t="n">
        <v>2</v>
      </c>
      <c r="D55" s="9" t="s">
        <v>551</v>
      </c>
      <c r="E55" s="9" t="s">
        <v>552</v>
      </c>
      <c r="F55" s="27" t="s">
        <v>400</v>
      </c>
      <c r="G55" s="9" t="s">
        <v>553</v>
      </c>
      <c r="H55" s="9" t="s">
        <v>551</v>
      </c>
      <c r="I55" s="9" t="s">
        <v>552</v>
      </c>
      <c r="J55" s="9" t="s">
        <v>553</v>
      </c>
      <c r="K55" s="9" t="s">
        <v>551</v>
      </c>
      <c r="L55" s="9" t="s">
        <v>552</v>
      </c>
      <c r="M55" s="9" t="s">
        <v>553</v>
      </c>
    </row>
    <row r="56" customFormat="false" ht="15" hidden="false" customHeight="false" outlineLevel="0" collapsed="false">
      <c r="A56" s="22" t="s">
        <v>191</v>
      </c>
      <c r="B56" s="4" t="s">
        <v>339</v>
      </c>
      <c r="C56" s="4" t="n">
        <v>2</v>
      </c>
      <c r="D56" s="9" t="s">
        <v>554</v>
      </c>
      <c r="E56" s="9" t="s">
        <v>555</v>
      </c>
      <c r="F56" s="9" t="s">
        <v>556</v>
      </c>
      <c r="G56" s="9" t="s">
        <v>554</v>
      </c>
      <c r="H56" s="9" t="s">
        <v>555</v>
      </c>
      <c r="I56" s="9" t="s">
        <v>556</v>
      </c>
      <c r="J56" s="9" t="s">
        <v>554</v>
      </c>
      <c r="K56" s="9" t="s">
        <v>555</v>
      </c>
      <c r="L56" s="27" t="s">
        <v>400</v>
      </c>
      <c r="M56" s="9" t="s">
        <v>556</v>
      </c>
    </row>
    <row r="57" customFormat="false" ht="15" hidden="false" customHeight="false" outlineLevel="0" collapsed="false">
      <c r="A57" s="22" t="s">
        <v>197</v>
      </c>
      <c r="B57" s="4" t="s">
        <v>339</v>
      </c>
      <c r="C57" s="4" t="n">
        <v>2</v>
      </c>
      <c r="D57" s="9" t="s">
        <v>557</v>
      </c>
      <c r="E57" s="9" t="s">
        <v>558</v>
      </c>
      <c r="F57" s="9" t="s">
        <v>559</v>
      </c>
      <c r="G57" s="9" t="s">
        <v>557</v>
      </c>
      <c r="H57" s="27" t="s">
        <v>400</v>
      </c>
      <c r="I57" s="9" t="s">
        <v>558</v>
      </c>
      <c r="J57" s="9" t="s">
        <v>559</v>
      </c>
      <c r="K57" s="9" t="s">
        <v>557</v>
      </c>
      <c r="L57" s="9" t="s">
        <v>558</v>
      </c>
      <c r="M57" s="9" t="s">
        <v>559</v>
      </c>
    </row>
    <row r="58" customFormat="false" ht="15" hidden="false" customHeight="false" outlineLevel="0" collapsed="false">
      <c r="A58" s="23" t="s">
        <v>193</v>
      </c>
      <c r="B58" s="4" t="s">
        <v>339</v>
      </c>
      <c r="C58" s="4" t="n">
        <v>3</v>
      </c>
      <c r="D58" s="9" t="s">
        <v>560</v>
      </c>
      <c r="E58" s="9" t="s">
        <v>561</v>
      </c>
      <c r="F58" s="9" t="s">
        <v>562</v>
      </c>
      <c r="G58" s="9" t="s">
        <v>560</v>
      </c>
      <c r="H58" s="27" t="s">
        <v>400</v>
      </c>
      <c r="I58" s="9" t="s">
        <v>561</v>
      </c>
      <c r="J58" s="9" t="s">
        <v>562</v>
      </c>
      <c r="K58" s="9" t="s">
        <v>560</v>
      </c>
      <c r="L58" s="9" t="s">
        <v>561</v>
      </c>
      <c r="M58" s="9" t="s">
        <v>562</v>
      </c>
    </row>
    <row r="59" customFormat="false" ht="15" hidden="false" customHeight="false" outlineLevel="0" collapsed="false">
      <c r="A59" s="23" t="s">
        <v>196</v>
      </c>
      <c r="B59" s="4" t="s">
        <v>339</v>
      </c>
      <c r="C59" s="4" t="n">
        <v>3</v>
      </c>
      <c r="D59" s="9" t="s">
        <v>563</v>
      </c>
      <c r="E59" s="9" t="s">
        <v>564</v>
      </c>
      <c r="F59" s="27" t="s">
        <v>400</v>
      </c>
      <c r="G59" s="9" t="s">
        <v>565</v>
      </c>
      <c r="H59" s="9" t="s">
        <v>563</v>
      </c>
      <c r="I59" s="9" t="s">
        <v>564</v>
      </c>
      <c r="J59" s="9" t="s">
        <v>565</v>
      </c>
      <c r="K59" s="9" t="s">
        <v>563</v>
      </c>
      <c r="L59" s="9" t="s">
        <v>564</v>
      </c>
      <c r="M59" s="9" t="s">
        <v>565</v>
      </c>
    </row>
    <row r="60" customFormat="false" ht="15" hidden="false" customHeight="false" outlineLevel="0" collapsed="false">
      <c r="A60" s="24" t="s">
        <v>190</v>
      </c>
      <c r="B60" s="4" t="s">
        <v>339</v>
      </c>
      <c r="C60" s="4" t="n">
        <v>4</v>
      </c>
      <c r="D60" s="9" t="s">
        <v>566</v>
      </c>
      <c r="E60" s="9" t="s">
        <v>567</v>
      </c>
      <c r="F60" s="9" t="s">
        <v>568</v>
      </c>
      <c r="G60" s="27" t="s">
        <v>400</v>
      </c>
      <c r="H60" s="9" t="s">
        <v>566</v>
      </c>
      <c r="I60" s="9" t="s">
        <v>567</v>
      </c>
      <c r="J60" s="9" t="s">
        <v>568</v>
      </c>
      <c r="K60" s="9" t="s">
        <v>566</v>
      </c>
      <c r="L60" s="9" t="s">
        <v>567</v>
      </c>
      <c r="M60" s="9" t="s">
        <v>568</v>
      </c>
    </row>
    <row r="61" customFormat="false" ht="15" hidden="false" customHeight="false" outlineLevel="0" collapsed="false">
      <c r="A61" s="25" t="s">
        <v>194</v>
      </c>
      <c r="B61" s="4" t="s">
        <v>339</v>
      </c>
      <c r="C61" s="4" t="n">
        <v>5</v>
      </c>
      <c r="D61" s="9" t="s">
        <v>569</v>
      </c>
      <c r="E61" s="9" t="s">
        <v>570</v>
      </c>
      <c r="F61" s="9" t="s">
        <v>571</v>
      </c>
      <c r="G61" s="9" t="s">
        <v>569</v>
      </c>
      <c r="H61" s="9" t="s">
        <v>570</v>
      </c>
      <c r="I61" s="27" t="s">
        <v>400</v>
      </c>
      <c r="J61" s="9" t="s">
        <v>571</v>
      </c>
      <c r="K61" s="9" t="s">
        <v>569</v>
      </c>
      <c r="L61" s="9" t="s">
        <v>570</v>
      </c>
      <c r="M61" s="9" t="s">
        <v>571</v>
      </c>
    </row>
    <row r="62" customFormat="false" ht="15" hidden="false" customHeight="false" outlineLevel="0" collapsed="false">
      <c r="A62" s="25" t="s">
        <v>192</v>
      </c>
      <c r="B62" s="4" t="s">
        <v>339</v>
      </c>
      <c r="C62" s="4" t="n">
        <v>5</v>
      </c>
      <c r="D62" s="9" t="s">
        <v>572</v>
      </c>
      <c r="E62" s="9" t="s">
        <v>573</v>
      </c>
      <c r="F62" s="27" t="s">
        <v>400</v>
      </c>
      <c r="G62" s="9" t="s">
        <v>574</v>
      </c>
      <c r="H62" s="9" t="s">
        <v>572</v>
      </c>
      <c r="I62" s="9" t="s">
        <v>573</v>
      </c>
      <c r="J62" s="9" t="s">
        <v>574</v>
      </c>
      <c r="K62" s="9" t="s">
        <v>572</v>
      </c>
      <c r="L62" s="9" t="s">
        <v>573</v>
      </c>
      <c r="M62" s="9" t="s">
        <v>574</v>
      </c>
    </row>
    <row r="63" customFormat="false" ht="15" hidden="false" customHeight="false" outlineLevel="0" collapsed="false">
      <c r="A63" s="26" t="s">
        <v>195</v>
      </c>
      <c r="B63" s="4" t="s">
        <v>339</v>
      </c>
      <c r="C63" s="4" t="n">
        <v>6</v>
      </c>
      <c r="D63" s="9" t="s">
        <v>575</v>
      </c>
      <c r="E63" s="9" t="s">
        <v>576</v>
      </c>
      <c r="F63" s="9" t="s">
        <v>577</v>
      </c>
      <c r="G63" s="9" t="s">
        <v>575</v>
      </c>
      <c r="H63" s="27" t="s">
        <v>400</v>
      </c>
      <c r="I63" s="9" t="s">
        <v>576</v>
      </c>
      <c r="J63" s="9" t="s">
        <v>577</v>
      </c>
      <c r="K63" s="9" t="s">
        <v>575</v>
      </c>
      <c r="L63" s="9" t="s">
        <v>576</v>
      </c>
      <c r="M63" s="9" t="s">
        <v>577</v>
      </c>
    </row>
    <row r="64" customFormat="false" ht="15" hidden="false" customHeight="false" outlineLevel="0" collapsed="false">
      <c r="A64" s="26" t="s">
        <v>198</v>
      </c>
      <c r="B64" s="4" t="s">
        <v>339</v>
      </c>
      <c r="C64" s="4" t="n">
        <v>6</v>
      </c>
      <c r="D64" s="9" t="s">
        <v>578</v>
      </c>
      <c r="E64" s="9" t="s">
        <v>579</v>
      </c>
      <c r="F64" s="27" t="s">
        <v>400</v>
      </c>
      <c r="G64" s="9" t="s">
        <v>580</v>
      </c>
      <c r="H64" s="9" t="s">
        <v>578</v>
      </c>
      <c r="I64" s="9" t="s">
        <v>579</v>
      </c>
      <c r="J64" s="9" t="s">
        <v>580</v>
      </c>
      <c r="K64" s="9" t="s">
        <v>578</v>
      </c>
      <c r="L64" s="9" t="s">
        <v>579</v>
      </c>
      <c r="M64" s="9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8"/>
    <col collapsed="false" customWidth="true" hidden="false" outlineLevel="0" max="13" min="4" style="0" width="10"/>
  </cols>
  <sheetData>
    <row r="1" customFormat="false" ht="17.35" hidden="false" customHeight="false" outlineLevel="0" collapsed="false">
      <c r="A1" s="1" t="s">
        <v>581</v>
      </c>
    </row>
    <row r="2" customFormat="false" ht="15" hidden="false" customHeight="false" outlineLevel="0" collapsed="false">
      <c r="A2" s="2" t="s">
        <v>582</v>
      </c>
    </row>
    <row r="4" customFormat="false" ht="15" hidden="false" customHeight="false" outlineLevel="0" collapsed="false">
      <c r="A4" s="3" t="s">
        <v>218</v>
      </c>
      <c r="B4" s="3" t="s">
        <v>220</v>
      </c>
      <c r="C4" s="3" t="s">
        <v>219</v>
      </c>
      <c r="D4" s="3" t="s">
        <v>390</v>
      </c>
      <c r="E4" s="3" t="s">
        <v>391</v>
      </c>
      <c r="F4" s="3" t="s">
        <v>392</v>
      </c>
      <c r="G4" s="3" t="s">
        <v>393</v>
      </c>
      <c r="H4" s="3" t="s">
        <v>394</v>
      </c>
      <c r="I4" s="3" t="s">
        <v>395</v>
      </c>
      <c r="J4" s="3" t="s">
        <v>396</v>
      </c>
      <c r="K4" s="3" t="s">
        <v>397</v>
      </c>
      <c r="L4" s="3" t="s">
        <v>398</v>
      </c>
      <c r="M4" s="3" t="s">
        <v>399</v>
      </c>
    </row>
    <row r="5" customFormat="false" ht="15" hidden="false" customHeight="false" outlineLevel="0" collapsed="false">
      <c r="A5" s="22" t="s">
        <v>120</v>
      </c>
      <c r="B5" s="4" t="s">
        <v>226</v>
      </c>
      <c r="C5" s="4" t="n">
        <v>2</v>
      </c>
      <c r="D5" s="28" t="s">
        <v>583</v>
      </c>
      <c r="E5" s="9" t="s">
        <v>401</v>
      </c>
      <c r="F5" s="9" t="s">
        <v>402</v>
      </c>
      <c r="G5" s="9" t="s">
        <v>403</v>
      </c>
      <c r="H5" s="9" t="s">
        <v>401</v>
      </c>
      <c r="I5" s="9" t="s">
        <v>402</v>
      </c>
      <c r="J5" s="9" t="s">
        <v>403</v>
      </c>
      <c r="K5" s="9" t="s">
        <v>401</v>
      </c>
      <c r="L5" s="9" t="s">
        <v>402</v>
      </c>
      <c r="M5" s="9" t="s">
        <v>403</v>
      </c>
    </row>
    <row r="6" customFormat="false" ht="15" hidden="false" customHeight="false" outlineLevel="0" collapsed="false">
      <c r="A6" s="22" t="s">
        <v>122</v>
      </c>
      <c r="B6" s="4" t="s">
        <v>226</v>
      </c>
      <c r="C6" s="4" t="n">
        <v>2</v>
      </c>
      <c r="D6" s="9" t="s">
        <v>404</v>
      </c>
      <c r="E6" s="9" t="s">
        <v>405</v>
      </c>
      <c r="F6" s="9" t="s">
        <v>406</v>
      </c>
      <c r="G6" s="9" t="s">
        <v>404</v>
      </c>
      <c r="H6" s="9" t="s">
        <v>405</v>
      </c>
      <c r="I6" s="9" t="s">
        <v>406</v>
      </c>
      <c r="J6" s="28" t="s">
        <v>584</v>
      </c>
      <c r="K6" s="9" t="s">
        <v>404</v>
      </c>
      <c r="L6" s="9" t="s">
        <v>405</v>
      </c>
      <c r="M6" s="9" t="s">
        <v>406</v>
      </c>
    </row>
    <row r="7" customFormat="false" ht="15" hidden="false" customHeight="false" outlineLevel="0" collapsed="false">
      <c r="A7" s="22" t="s">
        <v>125</v>
      </c>
      <c r="B7" s="4" t="s">
        <v>226</v>
      </c>
      <c r="C7" s="4" t="n">
        <v>2</v>
      </c>
      <c r="D7" s="9" t="s">
        <v>407</v>
      </c>
      <c r="E7" s="28" t="s">
        <v>585</v>
      </c>
      <c r="F7" s="9" t="s">
        <v>408</v>
      </c>
      <c r="G7" s="9" t="s">
        <v>409</v>
      </c>
      <c r="H7" s="9" t="s">
        <v>407</v>
      </c>
      <c r="I7" s="9" t="s">
        <v>408</v>
      </c>
      <c r="J7" s="9" t="s">
        <v>409</v>
      </c>
      <c r="K7" s="9" t="s">
        <v>407</v>
      </c>
      <c r="L7" s="9" t="s">
        <v>408</v>
      </c>
      <c r="M7" s="9" t="s">
        <v>409</v>
      </c>
    </row>
    <row r="8" customFormat="false" ht="15" hidden="false" customHeight="false" outlineLevel="0" collapsed="false">
      <c r="A8" s="26" t="s">
        <v>121</v>
      </c>
      <c r="B8" s="4" t="s">
        <v>226</v>
      </c>
      <c r="C8" s="4" t="n">
        <v>6</v>
      </c>
      <c r="D8" s="28" t="s">
        <v>586</v>
      </c>
      <c r="E8" s="9" t="s">
        <v>410</v>
      </c>
      <c r="F8" s="9" t="s">
        <v>411</v>
      </c>
      <c r="G8" s="9" t="s">
        <v>412</v>
      </c>
      <c r="H8" s="9" t="s">
        <v>410</v>
      </c>
      <c r="I8" s="9" t="s">
        <v>411</v>
      </c>
      <c r="J8" s="9" t="s">
        <v>412</v>
      </c>
      <c r="K8" s="9" t="s">
        <v>410</v>
      </c>
      <c r="L8" s="9" t="s">
        <v>411</v>
      </c>
      <c r="M8" s="9" t="s">
        <v>412</v>
      </c>
    </row>
    <row r="9" customFormat="false" ht="15" hidden="false" customHeight="false" outlineLevel="0" collapsed="false">
      <c r="A9" s="26" t="s">
        <v>123</v>
      </c>
      <c r="B9" s="4" t="s">
        <v>226</v>
      </c>
      <c r="C9" s="4" t="n">
        <v>6</v>
      </c>
      <c r="D9" s="9" t="s">
        <v>413</v>
      </c>
      <c r="E9" s="9" t="s">
        <v>414</v>
      </c>
      <c r="F9" s="9" t="s">
        <v>415</v>
      </c>
      <c r="G9" s="9" t="s">
        <v>413</v>
      </c>
      <c r="H9" s="9" t="s">
        <v>414</v>
      </c>
      <c r="I9" s="9" t="s">
        <v>415</v>
      </c>
      <c r="J9" s="9" t="s">
        <v>413</v>
      </c>
      <c r="K9" s="9" t="s">
        <v>414</v>
      </c>
      <c r="L9" s="28" t="s">
        <v>587</v>
      </c>
      <c r="M9" s="9" t="s">
        <v>415</v>
      </c>
    </row>
    <row r="10" customFormat="false" ht="15" hidden="false" customHeight="false" outlineLevel="0" collapsed="false">
      <c r="A10" s="26" t="s">
        <v>124</v>
      </c>
      <c r="B10" s="4" t="s">
        <v>226</v>
      </c>
      <c r="C10" s="4" t="n">
        <v>6</v>
      </c>
      <c r="D10" s="9" t="s">
        <v>416</v>
      </c>
      <c r="E10" s="9" t="s">
        <v>417</v>
      </c>
      <c r="F10" s="9" t="s">
        <v>418</v>
      </c>
      <c r="G10" s="9" t="s">
        <v>416</v>
      </c>
      <c r="H10" s="9" t="s">
        <v>417</v>
      </c>
      <c r="I10" s="28" t="s">
        <v>588</v>
      </c>
      <c r="J10" s="9" t="s">
        <v>418</v>
      </c>
      <c r="K10" s="9" t="s">
        <v>416</v>
      </c>
      <c r="L10" s="9" t="s">
        <v>417</v>
      </c>
      <c r="M10" s="9" t="s">
        <v>418</v>
      </c>
    </row>
    <row r="11" customFormat="false" ht="15" hidden="false" customHeight="false" outlineLevel="0" collapsed="false">
      <c r="A11" s="23" t="s">
        <v>128</v>
      </c>
      <c r="B11" s="4" t="s">
        <v>246</v>
      </c>
      <c r="C11" s="4" t="n">
        <v>3</v>
      </c>
      <c r="D11" s="28" t="s">
        <v>589</v>
      </c>
      <c r="E11" s="9" t="s">
        <v>419</v>
      </c>
      <c r="F11" s="9" t="s">
        <v>420</v>
      </c>
      <c r="G11" s="9" t="s">
        <v>421</v>
      </c>
      <c r="H11" s="9" t="s">
        <v>419</v>
      </c>
      <c r="I11" s="9" t="s">
        <v>420</v>
      </c>
      <c r="J11" s="9" t="s">
        <v>421</v>
      </c>
      <c r="K11" s="9" t="s">
        <v>419</v>
      </c>
      <c r="L11" s="9" t="s">
        <v>420</v>
      </c>
      <c r="M11" s="9" t="s">
        <v>421</v>
      </c>
    </row>
    <row r="12" customFormat="false" ht="15" hidden="false" customHeight="false" outlineLevel="0" collapsed="false">
      <c r="A12" s="26" t="s">
        <v>127</v>
      </c>
      <c r="B12" s="4" t="s">
        <v>246</v>
      </c>
      <c r="C12" s="4" t="n">
        <v>6</v>
      </c>
      <c r="D12" s="9" t="s">
        <v>422</v>
      </c>
      <c r="E12" s="9" t="s">
        <v>423</v>
      </c>
      <c r="F12" s="9" t="s">
        <v>424</v>
      </c>
      <c r="G12" s="28" t="s">
        <v>586</v>
      </c>
      <c r="H12" s="9" t="s">
        <v>422</v>
      </c>
      <c r="I12" s="9" t="s">
        <v>423</v>
      </c>
      <c r="J12" s="9" t="s">
        <v>424</v>
      </c>
      <c r="K12" s="9" t="s">
        <v>422</v>
      </c>
      <c r="L12" s="9" t="s">
        <v>423</v>
      </c>
      <c r="M12" s="9" t="s">
        <v>424</v>
      </c>
    </row>
    <row r="13" customFormat="false" ht="15" hidden="false" customHeight="false" outlineLevel="0" collapsed="false">
      <c r="A13" s="21" t="s">
        <v>130</v>
      </c>
      <c r="B13" s="4" t="s">
        <v>251</v>
      </c>
      <c r="C13" s="4" t="n">
        <v>1</v>
      </c>
      <c r="D13" s="28" t="s">
        <v>590</v>
      </c>
      <c r="E13" s="9" t="s">
        <v>425</v>
      </c>
      <c r="F13" s="9" t="s">
        <v>426</v>
      </c>
      <c r="G13" s="9" t="s">
        <v>427</v>
      </c>
      <c r="H13" s="9" t="s">
        <v>425</v>
      </c>
      <c r="I13" s="9" t="s">
        <v>426</v>
      </c>
      <c r="J13" s="9" t="s">
        <v>427</v>
      </c>
      <c r="K13" s="9" t="s">
        <v>425</v>
      </c>
      <c r="L13" s="9" t="s">
        <v>426</v>
      </c>
      <c r="M13" s="9" t="s">
        <v>427</v>
      </c>
    </row>
    <row r="14" customFormat="false" ht="15" hidden="false" customHeight="false" outlineLevel="0" collapsed="false">
      <c r="A14" s="21" t="s">
        <v>131</v>
      </c>
      <c r="B14" s="4" t="s">
        <v>251</v>
      </c>
      <c r="C14" s="4" t="n">
        <v>1</v>
      </c>
      <c r="D14" s="9" t="s">
        <v>428</v>
      </c>
      <c r="E14" s="9" t="s">
        <v>429</v>
      </c>
      <c r="F14" s="9" t="s">
        <v>430</v>
      </c>
      <c r="G14" s="9" t="s">
        <v>428</v>
      </c>
      <c r="H14" s="9" t="s">
        <v>429</v>
      </c>
      <c r="I14" s="9" t="s">
        <v>430</v>
      </c>
      <c r="J14" s="28" t="s">
        <v>590</v>
      </c>
      <c r="K14" s="9" t="s">
        <v>428</v>
      </c>
      <c r="L14" s="9" t="s">
        <v>429</v>
      </c>
      <c r="M14" s="9" t="s">
        <v>430</v>
      </c>
    </row>
    <row r="15" customFormat="false" ht="15" hidden="false" customHeight="false" outlineLevel="0" collapsed="false">
      <c r="A15" s="23" t="s">
        <v>134</v>
      </c>
      <c r="B15" s="4" t="s">
        <v>251</v>
      </c>
      <c r="C15" s="4" t="n">
        <v>3</v>
      </c>
      <c r="D15" s="9" t="s">
        <v>431</v>
      </c>
      <c r="E15" s="9" t="s">
        <v>432</v>
      </c>
      <c r="F15" s="9" t="s">
        <v>433</v>
      </c>
      <c r="G15" s="9" t="s">
        <v>431</v>
      </c>
      <c r="H15" s="9" t="s">
        <v>432</v>
      </c>
      <c r="I15" s="9" t="s">
        <v>433</v>
      </c>
      <c r="J15" s="9" t="s">
        <v>431</v>
      </c>
      <c r="K15" s="9" t="s">
        <v>432</v>
      </c>
      <c r="L15" s="28" t="s">
        <v>591</v>
      </c>
      <c r="M15" s="9" t="s">
        <v>433</v>
      </c>
    </row>
    <row r="16" customFormat="false" ht="15" hidden="false" customHeight="false" outlineLevel="0" collapsed="false">
      <c r="A16" s="25" t="s">
        <v>132</v>
      </c>
      <c r="B16" s="4" t="s">
        <v>251</v>
      </c>
      <c r="C16" s="4" t="n">
        <v>5</v>
      </c>
      <c r="D16" s="28" t="s">
        <v>592</v>
      </c>
      <c r="E16" s="9" t="s">
        <v>434</v>
      </c>
      <c r="F16" s="9" t="s">
        <v>435</v>
      </c>
      <c r="G16" s="9" t="s">
        <v>436</v>
      </c>
      <c r="H16" s="9" t="s">
        <v>434</v>
      </c>
      <c r="I16" s="9" t="s">
        <v>435</v>
      </c>
      <c r="J16" s="9" t="s">
        <v>436</v>
      </c>
      <c r="K16" s="9" t="s">
        <v>434</v>
      </c>
      <c r="L16" s="9" t="s">
        <v>435</v>
      </c>
      <c r="M16" s="9" t="s">
        <v>436</v>
      </c>
    </row>
    <row r="17" customFormat="false" ht="15" hidden="false" customHeight="false" outlineLevel="0" collapsed="false">
      <c r="A17" s="25" t="s">
        <v>133</v>
      </c>
      <c r="B17" s="4" t="s">
        <v>251</v>
      </c>
      <c r="C17" s="4" t="n">
        <v>5</v>
      </c>
      <c r="D17" s="9" t="s">
        <v>437</v>
      </c>
      <c r="E17" s="9" t="s">
        <v>438</v>
      </c>
      <c r="F17" s="9" t="s">
        <v>439</v>
      </c>
      <c r="G17" s="9" t="s">
        <v>437</v>
      </c>
      <c r="H17" s="9" t="s">
        <v>438</v>
      </c>
      <c r="I17" s="9" t="s">
        <v>439</v>
      </c>
      <c r="J17" s="9" t="s">
        <v>437</v>
      </c>
      <c r="K17" s="9" t="s">
        <v>438</v>
      </c>
      <c r="L17" s="28" t="s">
        <v>593</v>
      </c>
      <c r="M17" s="9" t="s">
        <v>439</v>
      </c>
    </row>
    <row r="18" customFormat="false" ht="15" hidden="false" customHeight="false" outlineLevel="0" collapsed="false">
      <c r="A18" s="21" t="s">
        <v>138</v>
      </c>
      <c r="B18" s="4" t="s">
        <v>227</v>
      </c>
      <c r="C18" s="4" t="n">
        <v>1</v>
      </c>
      <c r="D18" s="9" t="s">
        <v>440</v>
      </c>
      <c r="E18" s="9" t="s">
        <v>441</v>
      </c>
      <c r="F18" s="28" t="s">
        <v>594</v>
      </c>
      <c r="G18" s="9" t="s">
        <v>442</v>
      </c>
      <c r="H18" s="9" t="s">
        <v>440</v>
      </c>
      <c r="I18" s="9" t="s">
        <v>441</v>
      </c>
      <c r="J18" s="9" t="s">
        <v>442</v>
      </c>
      <c r="K18" s="9" t="s">
        <v>440</v>
      </c>
      <c r="L18" s="9" t="s">
        <v>441</v>
      </c>
      <c r="M18" s="9" t="s">
        <v>442</v>
      </c>
    </row>
    <row r="19" customFormat="false" ht="15" hidden="false" customHeight="false" outlineLevel="0" collapsed="false">
      <c r="A19" s="25" t="s">
        <v>137</v>
      </c>
      <c r="B19" s="4" t="s">
        <v>227</v>
      </c>
      <c r="C19" s="4" t="n">
        <v>5</v>
      </c>
      <c r="D19" s="9" t="s">
        <v>443</v>
      </c>
      <c r="E19" s="9" t="s">
        <v>444</v>
      </c>
      <c r="F19" s="9" t="s">
        <v>445</v>
      </c>
      <c r="G19" s="9" t="s">
        <v>443</v>
      </c>
      <c r="H19" s="9" t="s">
        <v>444</v>
      </c>
      <c r="I19" s="9" t="s">
        <v>445</v>
      </c>
      <c r="J19" s="28" t="s">
        <v>595</v>
      </c>
      <c r="K19" s="9" t="s">
        <v>443</v>
      </c>
      <c r="L19" s="9" t="s">
        <v>444</v>
      </c>
      <c r="M19" s="9" t="s">
        <v>445</v>
      </c>
    </row>
    <row r="20" customFormat="false" ht="15" hidden="false" customHeight="false" outlineLevel="0" collapsed="false">
      <c r="A20" s="26" t="s">
        <v>139</v>
      </c>
      <c r="B20" s="4" t="s">
        <v>227</v>
      </c>
      <c r="C20" s="4" t="n">
        <v>6</v>
      </c>
      <c r="D20" s="9" t="s">
        <v>446</v>
      </c>
      <c r="E20" s="28" t="s">
        <v>587</v>
      </c>
      <c r="F20" s="9" t="s">
        <v>447</v>
      </c>
      <c r="G20" s="9" t="s">
        <v>448</v>
      </c>
      <c r="H20" s="9" t="s">
        <v>446</v>
      </c>
      <c r="I20" s="9" t="s">
        <v>447</v>
      </c>
      <c r="J20" s="9" t="s">
        <v>448</v>
      </c>
      <c r="K20" s="9" t="s">
        <v>446</v>
      </c>
      <c r="L20" s="9" t="s">
        <v>447</v>
      </c>
      <c r="M20" s="9" t="s">
        <v>448</v>
      </c>
    </row>
    <row r="21" customFormat="false" ht="15" hidden="false" customHeight="false" outlineLevel="0" collapsed="false">
      <c r="A21" s="22" t="s">
        <v>142</v>
      </c>
      <c r="B21" s="4" t="s">
        <v>247</v>
      </c>
      <c r="C21" s="4" t="n">
        <v>2</v>
      </c>
      <c r="D21" s="9" t="s">
        <v>449</v>
      </c>
      <c r="E21" s="9" t="s">
        <v>450</v>
      </c>
      <c r="F21" s="9" t="s">
        <v>451</v>
      </c>
      <c r="G21" s="9" t="s">
        <v>449</v>
      </c>
      <c r="H21" s="9" t="s">
        <v>450</v>
      </c>
      <c r="I21" s="9" t="s">
        <v>451</v>
      </c>
      <c r="J21" s="9" t="s">
        <v>449</v>
      </c>
      <c r="K21" s="28" t="s">
        <v>583</v>
      </c>
      <c r="L21" s="9" t="s">
        <v>450</v>
      </c>
      <c r="M21" s="9" t="s">
        <v>451</v>
      </c>
    </row>
    <row r="22" customFormat="false" ht="15" hidden="false" customHeight="false" outlineLevel="0" collapsed="false">
      <c r="A22" s="24" t="s">
        <v>141</v>
      </c>
      <c r="B22" s="4" t="s">
        <v>247</v>
      </c>
      <c r="C22" s="4" t="n">
        <v>4</v>
      </c>
      <c r="D22" s="9" t="s">
        <v>452</v>
      </c>
      <c r="E22" s="28" t="s">
        <v>596</v>
      </c>
      <c r="F22" s="9" t="s">
        <v>453</v>
      </c>
      <c r="G22" s="9" t="s">
        <v>454</v>
      </c>
      <c r="H22" s="9" t="s">
        <v>452</v>
      </c>
      <c r="I22" s="9" t="s">
        <v>453</v>
      </c>
      <c r="J22" s="9" t="s">
        <v>454</v>
      </c>
      <c r="K22" s="9" t="s">
        <v>452</v>
      </c>
      <c r="L22" s="9" t="s">
        <v>453</v>
      </c>
      <c r="M22" s="9" t="s">
        <v>454</v>
      </c>
    </row>
    <row r="23" customFormat="false" ht="15" hidden="false" customHeight="false" outlineLevel="0" collapsed="false">
      <c r="A23" s="21" t="s">
        <v>148</v>
      </c>
      <c r="B23" s="4" t="s">
        <v>252</v>
      </c>
      <c r="C23" s="4" t="n">
        <v>1</v>
      </c>
      <c r="D23" s="9" t="s">
        <v>455</v>
      </c>
      <c r="E23" s="9" t="s">
        <v>456</v>
      </c>
      <c r="F23" s="9" t="s">
        <v>457</v>
      </c>
      <c r="G23" s="9" t="s">
        <v>455</v>
      </c>
      <c r="H23" s="9" t="s">
        <v>456</v>
      </c>
      <c r="I23" s="9" t="s">
        <v>457</v>
      </c>
      <c r="J23" s="9" t="s">
        <v>455</v>
      </c>
      <c r="K23" s="28" t="s">
        <v>597</v>
      </c>
      <c r="L23" s="9" t="s">
        <v>456</v>
      </c>
      <c r="M23" s="9" t="s">
        <v>457</v>
      </c>
    </row>
    <row r="24" customFormat="false" ht="15" hidden="false" customHeight="false" outlineLevel="0" collapsed="false">
      <c r="A24" s="21" t="s">
        <v>149</v>
      </c>
      <c r="B24" s="4" t="s">
        <v>252</v>
      </c>
      <c r="C24" s="4" t="n">
        <v>1</v>
      </c>
      <c r="D24" s="9" t="s">
        <v>458</v>
      </c>
      <c r="E24" s="9" t="s">
        <v>459</v>
      </c>
      <c r="F24" s="9" t="s">
        <v>460</v>
      </c>
      <c r="G24" s="28" t="s">
        <v>590</v>
      </c>
      <c r="H24" s="9" t="s">
        <v>458</v>
      </c>
      <c r="I24" s="9" t="s">
        <v>459</v>
      </c>
      <c r="J24" s="9" t="s">
        <v>460</v>
      </c>
      <c r="K24" s="9" t="s">
        <v>458</v>
      </c>
      <c r="L24" s="9" t="s">
        <v>459</v>
      </c>
      <c r="M24" s="9" t="s">
        <v>460</v>
      </c>
    </row>
    <row r="25" customFormat="false" ht="15" hidden="false" customHeight="false" outlineLevel="0" collapsed="false">
      <c r="A25" s="22" t="s">
        <v>144</v>
      </c>
      <c r="B25" s="4" t="s">
        <v>252</v>
      </c>
      <c r="C25" s="4" t="n">
        <v>2</v>
      </c>
      <c r="D25" s="9" t="s">
        <v>461</v>
      </c>
      <c r="E25" s="9" t="s">
        <v>462</v>
      </c>
      <c r="F25" s="9" t="s">
        <v>463</v>
      </c>
      <c r="G25" s="28" t="s">
        <v>598</v>
      </c>
      <c r="H25" s="9" t="s">
        <v>461</v>
      </c>
      <c r="I25" s="9" t="s">
        <v>462</v>
      </c>
      <c r="J25" s="9" t="s">
        <v>463</v>
      </c>
      <c r="K25" s="9" t="s">
        <v>461</v>
      </c>
      <c r="L25" s="9" t="s">
        <v>462</v>
      </c>
      <c r="M25" s="9" t="s">
        <v>463</v>
      </c>
    </row>
    <row r="26" customFormat="false" ht="15" hidden="false" customHeight="false" outlineLevel="0" collapsed="false">
      <c r="A26" s="22" t="s">
        <v>147</v>
      </c>
      <c r="B26" s="4" t="s">
        <v>252</v>
      </c>
      <c r="C26" s="4" t="n">
        <v>2</v>
      </c>
      <c r="D26" s="9" t="s">
        <v>464</v>
      </c>
      <c r="E26" s="9" t="s">
        <v>465</v>
      </c>
      <c r="F26" s="9" t="s">
        <v>466</v>
      </c>
      <c r="G26" s="9" t="s">
        <v>464</v>
      </c>
      <c r="H26" s="9" t="s">
        <v>465</v>
      </c>
      <c r="I26" s="9" t="s">
        <v>466</v>
      </c>
      <c r="J26" s="9" t="s">
        <v>464</v>
      </c>
      <c r="K26" s="9" t="s">
        <v>465</v>
      </c>
      <c r="L26" s="9" t="s">
        <v>466</v>
      </c>
      <c r="M26" s="28" t="s">
        <v>584</v>
      </c>
    </row>
    <row r="27" customFormat="false" ht="15" hidden="false" customHeight="false" outlineLevel="0" collapsed="false">
      <c r="A27" s="23" t="s">
        <v>146</v>
      </c>
      <c r="B27" s="4" t="s">
        <v>252</v>
      </c>
      <c r="C27" s="4" t="n">
        <v>3</v>
      </c>
      <c r="D27" s="9" t="s">
        <v>467</v>
      </c>
      <c r="E27" s="9" t="s">
        <v>468</v>
      </c>
      <c r="F27" s="9" t="s">
        <v>469</v>
      </c>
      <c r="G27" s="9" t="s">
        <v>467</v>
      </c>
      <c r="H27" s="9" t="s">
        <v>468</v>
      </c>
      <c r="I27" s="28" t="s">
        <v>599</v>
      </c>
      <c r="J27" s="9" t="s">
        <v>469</v>
      </c>
      <c r="K27" s="9" t="s">
        <v>467</v>
      </c>
      <c r="L27" s="9" t="s">
        <v>468</v>
      </c>
      <c r="M27" s="9" t="s">
        <v>469</v>
      </c>
    </row>
    <row r="28" customFormat="false" ht="15" hidden="false" customHeight="false" outlineLevel="0" collapsed="false">
      <c r="A28" s="24" t="s">
        <v>145</v>
      </c>
      <c r="B28" s="4" t="s">
        <v>252</v>
      </c>
      <c r="C28" s="4" t="n">
        <v>4</v>
      </c>
      <c r="D28" s="9" t="s">
        <v>470</v>
      </c>
      <c r="E28" s="9" t="s">
        <v>471</v>
      </c>
      <c r="F28" s="9" t="s">
        <v>472</v>
      </c>
      <c r="G28" s="9" t="s">
        <v>470</v>
      </c>
      <c r="H28" s="9" t="s">
        <v>471</v>
      </c>
      <c r="I28" s="9" t="s">
        <v>472</v>
      </c>
      <c r="J28" s="9" t="s">
        <v>470</v>
      </c>
      <c r="K28" s="9" t="s">
        <v>471</v>
      </c>
      <c r="L28" s="28" t="s">
        <v>600</v>
      </c>
      <c r="M28" s="9" t="s">
        <v>472</v>
      </c>
    </row>
    <row r="29" customFormat="false" ht="15" hidden="false" customHeight="false" outlineLevel="0" collapsed="false">
      <c r="A29" s="24" t="s">
        <v>151</v>
      </c>
      <c r="B29" s="4" t="s">
        <v>252</v>
      </c>
      <c r="C29" s="4" t="n">
        <v>4</v>
      </c>
      <c r="D29" s="9" t="s">
        <v>473</v>
      </c>
      <c r="E29" s="9" t="s">
        <v>474</v>
      </c>
      <c r="F29" s="9" t="s">
        <v>475</v>
      </c>
      <c r="G29" s="9" t="s">
        <v>473</v>
      </c>
      <c r="H29" s="9" t="s">
        <v>474</v>
      </c>
      <c r="I29" s="9" t="s">
        <v>475</v>
      </c>
      <c r="J29" s="28" t="s">
        <v>601</v>
      </c>
      <c r="K29" s="9" t="s">
        <v>473</v>
      </c>
      <c r="L29" s="9" t="s">
        <v>474</v>
      </c>
      <c r="M29" s="9" t="s">
        <v>475</v>
      </c>
    </row>
    <row r="30" customFormat="false" ht="15" hidden="false" customHeight="false" outlineLevel="0" collapsed="false">
      <c r="A30" s="25" t="s">
        <v>150</v>
      </c>
      <c r="B30" s="4" t="s">
        <v>252</v>
      </c>
      <c r="C30" s="4" t="n">
        <v>5</v>
      </c>
      <c r="D30" s="9" t="s">
        <v>476</v>
      </c>
      <c r="E30" s="9" t="s">
        <v>477</v>
      </c>
      <c r="F30" s="9" t="s">
        <v>478</v>
      </c>
      <c r="G30" s="9" t="s">
        <v>476</v>
      </c>
      <c r="H30" s="28" t="s">
        <v>592</v>
      </c>
      <c r="I30" s="9" t="s">
        <v>477</v>
      </c>
      <c r="J30" s="9" t="s">
        <v>478</v>
      </c>
      <c r="K30" s="9" t="s">
        <v>476</v>
      </c>
      <c r="L30" s="9" t="s">
        <v>477</v>
      </c>
      <c r="M30" s="9" t="s">
        <v>478</v>
      </c>
    </row>
    <row r="31" customFormat="false" ht="15" hidden="false" customHeight="false" outlineLevel="0" collapsed="false">
      <c r="A31" s="21" t="s">
        <v>159</v>
      </c>
      <c r="B31" s="4" t="s">
        <v>296</v>
      </c>
      <c r="C31" s="4" t="n">
        <v>1</v>
      </c>
      <c r="D31" s="9" t="s">
        <v>479</v>
      </c>
      <c r="E31" s="9" t="s">
        <v>480</v>
      </c>
      <c r="F31" s="9" t="s">
        <v>481</v>
      </c>
      <c r="G31" s="9" t="s">
        <v>479</v>
      </c>
      <c r="H31" s="9" t="s">
        <v>480</v>
      </c>
      <c r="I31" s="9" t="s">
        <v>481</v>
      </c>
      <c r="J31" s="9" t="s">
        <v>479</v>
      </c>
      <c r="K31" s="9" t="s">
        <v>480</v>
      </c>
      <c r="L31" s="9" t="s">
        <v>481</v>
      </c>
      <c r="M31" s="28" t="s">
        <v>602</v>
      </c>
    </row>
    <row r="32" customFormat="false" ht="15" hidden="false" customHeight="false" outlineLevel="0" collapsed="false">
      <c r="A32" s="21" t="s">
        <v>160</v>
      </c>
      <c r="B32" s="4" t="s">
        <v>296</v>
      </c>
      <c r="C32" s="4" t="n">
        <v>1</v>
      </c>
      <c r="D32" s="9" t="s">
        <v>482</v>
      </c>
      <c r="E32" s="9" t="s">
        <v>483</v>
      </c>
      <c r="F32" s="9" t="s">
        <v>484</v>
      </c>
      <c r="G32" s="9" t="s">
        <v>482</v>
      </c>
      <c r="H32" s="9" t="s">
        <v>483</v>
      </c>
      <c r="I32" s="28" t="s">
        <v>594</v>
      </c>
      <c r="J32" s="9" t="s">
        <v>484</v>
      </c>
      <c r="K32" s="9" t="s">
        <v>482</v>
      </c>
      <c r="L32" s="9" t="s">
        <v>483</v>
      </c>
      <c r="M32" s="9" t="s">
        <v>484</v>
      </c>
    </row>
    <row r="33" customFormat="false" ht="15" hidden="false" customHeight="false" outlineLevel="0" collapsed="false">
      <c r="A33" s="23" t="s">
        <v>161</v>
      </c>
      <c r="B33" s="4" t="s">
        <v>296</v>
      </c>
      <c r="C33" s="4" t="n">
        <v>3</v>
      </c>
      <c r="D33" s="9" t="s">
        <v>485</v>
      </c>
      <c r="E33" s="9" t="s">
        <v>486</v>
      </c>
      <c r="F33" s="9" t="s">
        <v>487</v>
      </c>
      <c r="G33" s="28" t="s">
        <v>589</v>
      </c>
      <c r="H33" s="9" t="s">
        <v>485</v>
      </c>
      <c r="I33" s="9" t="s">
        <v>486</v>
      </c>
      <c r="J33" s="9" t="s">
        <v>487</v>
      </c>
      <c r="K33" s="9" t="s">
        <v>485</v>
      </c>
      <c r="L33" s="9" t="s">
        <v>486</v>
      </c>
      <c r="M33" s="9" t="s">
        <v>487</v>
      </c>
    </row>
    <row r="34" customFormat="false" ht="15" hidden="false" customHeight="false" outlineLevel="0" collapsed="false">
      <c r="A34" s="23" t="s">
        <v>163</v>
      </c>
      <c r="B34" s="4" t="s">
        <v>296</v>
      </c>
      <c r="C34" s="4" t="n">
        <v>3</v>
      </c>
      <c r="D34" s="9" t="s">
        <v>488</v>
      </c>
      <c r="E34" s="28" t="s">
        <v>591</v>
      </c>
      <c r="F34" s="9" t="s">
        <v>489</v>
      </c>
      <c r="G34" s="9" t="s">
        <v>490</v>
      </c>
      <c r="H34" s="9" t="s">
        <v>488</v>
      </c>
      <c r="I34" s="9" t="s">
        <v>489</v>
      </c>
      <c r="J34" s="9" t="s">
        <v>490</v>
      </c>
      <c r="K34" s="9" t="s">
        <v>488</v>
      </c>
      <c r="L34" s="9" t="s">
        <v>489</v>
      </c>
      <c r="M34" s="9" t="s">
        <v>490</v>
      </c>
    </row>
    <row r="35" customFormat="false" ht="15" hidden="false" customHeight="false" outlineLevel="0" collapsed="false">
      <c r="A35" s="24" t="s">
        <v>157</v>
      </c>
      <c r="B35" s="4" t="s">
        <v>296</v>
      </c>
      <c r="C35" s="4" t="n">
        <v>4</v>
      </c>
      <c r="D35" s="9" t="s">
        <v>491</v>
      </c>
      <c r="E35" s="9" t="s">
        <v>492</v>
      </c>
      <c r="F35" s="9" t="s">
        <v>493</v>
      </c>
      <c r="G35" s="9" t="s">
        <v>491</v>
      </c>
      <c r="H35" s="28" t="s">
        <v>596</v>
      </c>
      <c r="I35" s="9" t="s">
        <v>492</v>
      </c>
      <c r="J35" s="9" t="s">
        <v>493</v>
      </c>
      <c r="K35" s="9" t="s">
        <v>491</v>
      </c>
      <c r="L35" s="9" t="s">
        <v>492</v>
      </c>
      <c r="M35" s="9" t="s">
        <v>493</v>
      </c>
    </row>
    <row r="36" customFormat="false" ht="15" hidden="false" customHeight="false" outlineLevel="0" collapsed="false">
      <c r="A36" s="24" t="s">
        <v>164</v>
      </c>
      <c r="B36" s="4" t="s">
        <v>296</v>
      </c>
      <c r="C36" s="4" t="n">
        <v>4</v>
      </c>
      <c r="D36" s="9" t="s">
        <v>494</v>
      </c>
      <c r="E36" s="9" t="s">
        <v>495</v>
      </c>
      <c r="F36" s="28" t="s">
        <v>600</v>
      </c>
      <c r="G36" s="9" t="s">
        <v>496</v>
      </c>
      <c r="H36" s="9" t="s">
        <v>494</v>
      </c>
      <c r="I36" s="9" t="s">
        <v>495</v>
      </c>
      <c r="J36" s="9" t="s">
        <v>496</v>
      </c>
      <c r="K36" s="9" t="s">
        <v>494</v>
      </c>
      <c r="L36" s="9" t="s">
        <v>495</v>
      </c>
      <c r="M36" s="9" t="s">
        <v>496</v>
      </c>
    </row>
    <row r="37" customFormat="false" ht="15" hidden="false" customHeight="false" outlineLevel="0" collapsed="false">
      <c r="A37" s="24" t="s">
        <v>158</v>
      </c>
      <c r="B37" s="4" t="s">
        <v>296</v>
      </c>
      <c r="C37" s="4" t="n">
        <v>4</v>
      </c>
      <c r="D37" s="9" t="s">
        <v>497</v>
      </c>
      <c r="E37" s="9" t="s">
        <v>498</v>
      </c>
      <c r="F37" s="9" t="s">
        <v>499</v>
      </c>
      <c r="G37" s="9" t="s">
        <v>497</v>
      </c>
      <c r="H37" s="9" t="s">
        <v>498</v>
      </c>
      <c r="I37" s="9" t="s">
        <v>499</v>
      </c>
      <c r="J37" s="9" t="s">
        <v>497</v>
      </c>
      <c r="K37" s="9" t="s">
        <v>498</v>
      </c>
      <c r="L37" s="9" t="s">
        <v>499</v>
      </c>
      <c r="M37" s="28" t="s">
        <v>601</v>
      </c>
    </row>
    <row r="38" customFormat="false" ht="15" hidden="false" customHeight="false" outlineLevel="0" collapsed="false">
      <c r="A38" s="25" t="s">
        <v>162</v>
      </c>
      <c r="B38" s="4" t="s">
        <v>296</v>
      </c>
      <c r="C38" s="4" t="n">
        <v>5</v>
      </c>
      <c r="D38" s="9" t="s">
        <v>500</v>
      </c>
      <c r="E38" s="28" t="s">
        <v>593</v>
      </c>
      <c r="F38" s="9" t="s">
        <v>501</v>
      </c>
      <c r="G38" s="9" t="s">
        <v>502</v>
      </c>
      <c r="H38" s="9" t="s">
        <v>500</v>
      </c>
      <c r="I38" s="9" t="s">
        <v>501</v>
      </c>
      <c r="J38" s="9" t="s">
        <v>502</v>
      </c>
      <c r="K38" s="9" t="s">
        <v>500</v>
      </c>
      <c r="L38" s="9" t="s">
        <v>501</v>
      </c>
      <c r="M38" s="9" t="s">
        <v>502</v>
      </c>
    </row>
    <row r="39" customFormat="false" ht="15" hidden="false" customHeight="false" outlineLevel="0" collapsed="false">
      <c r="A39" s="22" t="s">
        <v>166</v>
      </c>
      <c r="B39" s="4" t="s">
        <v>323</v>
      </c>
      <c r="C39" s="4" t="n">
        <v>2</v>
      </c>
      <c r="D39" s="9" t="s">
        <v>503</v>
      </c>
      <c r="E39" s="9" t="s">
        <v>504</v>
      </c>
      <c r="F39" s="9" t="s">
        <v>505</v>
      </c>
      <c r="G39" s="9" t="s">
        <v>503</v>
      </c>
      <c r="H39" s="9" t="s">
        <v>504</v>
      </c>
      <c r="I39" s="28" t="s">
        <v>585</v>
      </c>
      <c r="J39" s="9" t="s">
        <v>505</v>
      </c>
      <c r="K39" s="9" t="s">
        <v>503</v>
      </c>
      <c r="L39" s="9" t="s">
        <v>504</v>
      </c>
      <c r="M39" s="9" t="s">
        <v>505</v>
      </c>
    </row>
    <row r="40" customFormat="false" ht="15" hidden="false" customHeight="false" outlineLevel="0" collapsed="false">
      <c r="A40" s="21" t="s">
        <v>169</v>
      </c>
      <c r="B40" s="4" t="s">
        <v>326</v>
      </c>
      <c r="C40" s="4" t="n">
        <v>1</v>
      </c>
      <c r="D40" s="9" t="s">
        <v>506</v>
      </c>
      <c r="E40" s="28" t="s">
        <v>597</v>
      </c>
      <c r="F40" s="9" t="s">
        <v>507</v>
      </c>
      <c r="G40" s="9" t="s">
        <v>508</v>
      </c>
      <c r="H40" s="9" t="s">
        <v>506</v>
      </c>
      <c r="I40" s="9" t="s">
        <v>507</v>
      </c>
      <c r="J40" s="9" t="s">
        <v>508</v>
      </c>
      <c r="K40" s="9" t="s">
        <v>506</v>
      </c>
      <c r="L40" s="9" t="s">
        <v>507</v>
      </c>
      <c r="M40" s="9" t="s">
        <v>508</v>
      </c>
    </row>
    <row r="41" customFormat="false" ht="15" hidden="false" customHeight="false" outlineLevel="0" collapsed="false">
      <c r="A41" s="24" t="s">
        <v>168</v>
      </c>
      <c r="B41" s="4" t="s">
        <v>326</v>
      </c>
      <c r="C41" s="4" t="n">
        <v>4</v>
      </c>
      <c r="D41" s="9" t="s">
        <v>509</v>
      </c>
      <c r="E41" s="9" t="s">
        <v>510</v>
      </c>
      <c r="F41" s="9" t="s">
        <v>511</v>
      </c>
      <c r="G41" s="9" t="s">
        <v>509</v>
      </c>
      <c r="H41" s="9" t="s">
        <v>510</v>
      </c>
      <c r="I41" s="9" t="s">
        <v>511</v>
      </c>
      <c r="J41" s="9" t="s">
        <v>509</v>
      </c>
      <c r="K41" s="28" t="s">
        <v>596</v>
      </c>
      <c r="L41" s="9" t="s">
        <v>510</v>
      </c>
      <c r="M41" s="9" t="s">
        <v>511</v>
      </c>
    </row>
    <row r="42" customFormat="false" ht="15" hidden="false" customHeight="false" outlineLevel="0" collapsed="false">
      <c r="A42" s="24" t="s">
        <v>170</v>
      </c>
      <c r="B42" s="4" t="s">
        <v>326</v>
      </c>
      <c r="C42" s="4" t="n">
        <v>4</v>
      </c>
      <c r="D42" s="9" t="s">
        <v>512</v>
      </c>
      <c r="E42" s="9" t="s">
        <v>513</v>
      </c>
      <c r="F42" s="9" t="s">
        <v>514</v>
      </c>
      <c r="G42" s="9" t="s">
        <v>512</v>
      </c>
      <c r="H42" s="9" t="s">
        <v>513</v>
      </c>
      <c r="I42" s="28" t="s">
        <v>600</v>
      </c>
      <c r="J42" s="9" t="s">
        <v>514</v>
      </c>
      <c r="K42" s="9" t="s">
        <v>512</v>
      </c>
      <c r="L42" s="9" t="s">
        <v>513</v>
      </c>
      <c r="M42" s="9" t="s">
        <v>514</v>
      </c>
    </row>
    <row r="43" customFormat="false" ht="15" hidden="false" customHeight="false" outlineLevel="0" collapsed="false">
      <c r="A43" s="23" t="s">
        <v>172</v>
      </c>
      <c r="B43" s="4" t="s">
        <v>334</v>
      </c>
      <c r="C43" s="4" t="n">
        <v>3</v>
      </c>
      <c r="D43" s="9" t="s">
        <v>515</v>
      </c>
      <c r="E43" s="9" t="s">
        <v>516</v>
      </c>
      <c r="F43" s="9" t="s">
        <v>517</v>
      </c>
      <c r="G43" s="9" t="s">
        <v>515</v>
      </c>
      <c r="H43" s="9" t="s">
        <v>516</v>
      </c>
      <c r="I43" s="9" t="s">
        <v>517</v>
      </c>
      <c r="J43" s="9" t="s">
        <v>515</v>
      </c>
      <c r="K43" s="9" t="s">
        <v>516</v>
      </c>
      <c r="L43" s="9" t="s">
        <v>517</v>
      </c>
      <c r="M43" s="28" t="s">
        <v>599</v>
      </c>
    </row>
    <row r="44" customFormat="false" ht="15" hidden="false" customHeight="false" outlineLevel="0" collapsed="false">
      <c r="A44" s="21" t="s">
        <v>174</v>
      </c>
      <c r="B44" s="4" t="s">
        <v>297</v>
      </c>
      <c r="C44" s="4" t="n">
        <v>1</v>
      </c>
      <c r="D44" s="9" t="s">
        <v>518</v>
      </c>
      <c r="E44" s="9" t="s">
        <v>519</v>
      </c>
      <c r="F44" s="9" t="s">
        <v>520</v>
      </c>
      <c r="G44" s="9" t="s">
        <v>518</v>
      </c>
      <c r="H44" s="9" t="s">
        <v>519</v>
      </c>
      <c r="I44" s="9" t="s">
        <v>520</v>
      </c>
      <c r="J44" s="28" t="s">
        <v>602</v>
      </c>
      <c r="K44" s="9" t="s">
        <v>518</v>
      </c>
      <c r="L44" s="9" t="s">
        <v>519</v>
      </c>
      <c r="M44" s="9" t="s">
        <v>520</v>
      </c>
    </row>
    <row r="45" customFormat="false" ht="15" hidden="false" customHeight="false" outlineLevel="0" collapsed="false">
      <c r="A45" s="21" t="s">
        <v>178</v>
      </c>
      <c r="B45" s="4" t="s">
        <v>297</v>
      </c>
      <c r="C45" s="4" t="n">
        <v>1</v>
      </c>
      <c r="D45" s="9" t="s">
        <v>521</v>
      </c>
      <c r="E45" s="9" t="s">
        <v>522</v>
      </c>
      <c r="F45" s="9" t="s">
        <v>523</v>
      </c>
      <c r="G45" s="28" t="s">
        <v>602</v>
      </c>
      <c r="H45" s="9" t="s">
        <v>521</v>
      </c>
      <c r="I45" s="9" t="s">
        <v>522</v>
      </c>
      <c r="J45" s="9" t="s">
        <v>523</v>
      </c>
      <c r="K45" s="9" t="s">
        <v>521</v>
      </c>
      <c r="L45" s="9" t="s">
        <v>522</v>
      </c>
      <c r="M45" s="9" t="s">
        <v>523</v>
      </c>
    </row>
    <row r="46" customFormat="false" ht="15" hidden="false" customHeight="false" outlineLevel="0" collapsed="false">
      <c r="A46" s="22" t="s">
        <v>181</v>
      </c>
      <c r="B46" s="4" t="s">
        <v>297</v>
      </c>
      <c r="C46" s="4" t="n">
        <v>2</v>
      </c>
      <c r="D46" s="28" t="s">
        <v>598</v>
      </c>
      <c r="E46" s="9" t="s">
        <v>524</v>
      </c>
      <c r="F46" s="9" t="s">
        <v>525</v>
      </c>
      <c r="G46" s="9" t="s">
        <v>526</v>
      </c>
      <c r="H46" s="9" t="s">
        <v>524</v>
      </c>
      <c r="I46" s="9" t="s">
        <v>525</v>
      </c>
      <c r="J46" s="9" t="s">
        <v>526</v>
      </c>
      <c r="K46" s="9" t="s">
        <v>524</v>
      </c>
      <c r="L46" s="9" t="s">
        <v>525</v>
      </c>
      <c r="M46" s="9" t="s">
        <v>526</v>
      </c>
    </row>
    <row r="47" customFormat="false" ht="15" hidden="false" customHeight="false" outlineLevel="0" collapsed="false">
      <c r="A47" s="23" t="s">
        <v>176</v>
      </c>
      <c r="B47" s="4" t="s">
        <v>297</v>
      </c>
      <c r="C47" s="4" t="n">
        <v>3</v>
      </c>
      <c r="D47" s="9" t="s">
        <v>527</v>
      </c>
      <c r="E47" s="9" t="s">
        <v>528</v>
      </c>
      <c r="F47" s="9" t="s">
        <v>529</v>
      </c>
      <c r="G47" s="9" t="s">
        <v>527</v>
      </c>
      <c r="H47" s="9" t="s">
        <v>528</v>
      </c>
      <c r="I47" s="9" t="s">
        <v>529</v>
      </c>
      <c r="J47" s="28" t="s">
        <v>589</v>
      </c>
      <c r="K47" s="9" t="s">
        <v>527</v>
      </c>
      <c r="L47" s="9" t="s">
        <v>528</v>
      </c>
      <c r="M47" s="9" t="s">
        <v>529</v>
      </c>
    </row>
    <row r="48" customFormat="false" ht="15" hidden="false" customHeight="false" outlineLevel="0" collapsed="false">
      <c r="A48" s="25" t="s">
        <v>180</v>
      </c>
      <c r="B48" s="4" t="s">
        <v>297</v>
      </c>
      <c r="C48" s="4" t="n">
        <v>5</v>
      </c>
      <c r="D48" s="9" t="s">
        <v>530</v>
      </c>
      <c r="E48" s="9" t="s">
        <v>531</v>
      </c>
      <c r="F48" s="9" t="s">
        <v>532</v>
      </c>
      <c r="G48" s="9" t="s">
        <v>530</v>
      </c>
      <c r="H48" s="9" t="s">
        <v>531</v>
      </c>
      <c r="I48" s="9" t="s">
        <v>532</v>
      </c>
      <c r="J48" s="9" t="s">
        <v>530</v>
      </c>
      <c r="K48" s="9" t="s">
        <v>531</v>
      </c>
      <c r="L48" s="9" t="s">
        <v>532</v>
      </c>
      <c r="M48" s="28" t="s">
        <v>595</v>
      </c>
    </row>
    <row r="49" customFormat="false" ht="15" hidden="false" customHeight="false" outlineLevel="0" collapsed="false">
      <c r="A49" s="25" t="s">
        <v>179</v>
      </c>
      <c r="B49" s="4" t="s">
        <v>297</v>
      </c>
      <c r="C49" s="4" t="n">
        <v>5</v>
      </c>
      <c r="D49" s="9" t="s">
        <v>533</v>
      </c>
      <c r="E49" s="9" t="s">
        <v>534</v>
      </c>
      <c r="F49" s="9" t="s">
        <v>535</v>
      </c>
      <c r="G49" s="9" t="s">
        <v>533</v>
      </c>
      <c r="H49" s="9" t="s">
        <v>534</v>
      </c>
      <c r="I49" s="9" t="s">
        <v>535</v>
      </c>
      <c r="J49" s="9" t="s">
        <v>533</v>
      </c>
      <c r="K49" s="28" t="s">
        <v>592</v>
      </c>
      <c r="L49" s="9" t="s">
        <v>534</v>
      </c>
      <c r="M49" s="9" t="s">
        <v>535</v>
      </c>
    </row>
    <row r="50" customFormat="false" ht="15" hidden="false" customHeight="false" outlineLevel="0" collapsed="false">
      <c r="A50" s="26" t="s">
        <v>175</v>
      </c>
      <c r="B50" s="4" t="s">
        <v>297</v>
      </c>
      <c r="C50" s="4" t="n">
        <v>6</v>
      </c>
      <c r="D50" s="9" t="s">
        <v>536</v>
      </c>
      <c r="E50" s="9" t="s">
        <v>537</v>
      </c>
      <c r="F50" s="9" t="s">
        <v>538</v>
      </c>
      <c r="G50" s="9" t="s">
        <v>536</v>
      </c>
      <c r="H50" s="9" t="s">
        <v>537</v>
      </c>
      <c r="I50" s="9" t="s">
        <v>538</v>
      </c>
      <c r="J50" s="9" t="s">
        <v>536</v>
      </c>
      <c r="K50" s="9" t="s">
        <v>537</v>
      </c>
      <c r="L50" s="9" t="s">
        <v>538</v>
      </c>
      <c r="M50" s="28" t="s">
        <v>588</v>
      </c>
    </row>
    <row r="51" customFormat="false" ht="15" hidden="false" customHeight="false" outlineLevel="0" collapsed="false">
      <c r="A51" s="26" t="s">
        <v>177</v>
      </c>
      <c r="B51" s="4" t="s">
        <v>297</v>
      </c>
      <c r="C51" s="4" t="n">
        <v>6</v>
      </c>
      <c r="D51" s="9" t="s">
        <v>539</v>
      </c>
      <c r="E51" s="9" t="s">
        <v>540</v>
      </c>
      <c r="F51" s="9" t="s">
        <v>541</v>
      </c>
      <c r="G51" s="9" t="s">
        <v>539</v>
      </c>
      <c r="H51" s="9" t="s">
        <v>540</v>
      </c>
      <c r="I51" s="9" t="s">
        <v>541</v>
      </c>
      <c r="J51" s="9" t="s">
        <v>539</v>
      </c>
      <c r="K51" s="28" t="s">
        <v>586</v>
      </c>
      <c r="L51" s="9" t="s">
        <v>540</v>
      </c>
      <c r="M51" s="9" t="s">
        <v>541</v>
      </c>
    </row>
    <row r="52" customFormat="false" ht="15" hidden="false" customHeight="false" outlineLevel="0" collapsed="false">
      <c r="A52" s="21" t="s">
        <v>185</v>
      </c>
      <c r="B52" s="4" t="s">
        <v>327</v>
      </c>
      <c r="C52" s="4" t="n">
        <v>1</v>
      </c>
      <c r="D52" s="9" t="s">
        <v>542</v>
      </c>
      <c r="E52" s="9" t="s">
        <v>543</v>
      </c>
      <c r="F52" s="9" t="s">
        <v>544</v>
      </c>
      <c r="G52" s="9" t="s">
        <v>542</v>
      </c>
      <c r="H52" s="9" t="s">
        <v>543</v>
      </c>
      <c r="I52" s="9" t="s">
        <v>544</v>
      </c>
      <c r="J52" s="9" t="s">
        <v>542</v>
      </c>
      <c r="K52" s="9" t="s">
        <v>543</v>
      </c>
      <c r="L52" s="28" t="s">
        <v>594</v>
      </c>
      <c r="M52" s="9" t="s">
        <v>544</v>
      </c>
    </row>
    <row r="53" customFormat="false" ht="15" hidden="false" customHeight="false" outlineLevel="0" collapsed="false">
      <c r="A53" s="22" t="s">
        <v>184</v>
      </c>
      <c r="B53" s="4" t="s">
        <v>327</v>
      </c>
      <c r="C53" s="4" t="n">
        <v>2</v>
      </c>
      <c r="D53" s="9" t="s">
        <v>545</v>
      </c>
      <c r="E53" s="9" t="s">
        <v>546</v>
      </c>
      <c r="F53" s="9" t="s">
        <v>547</v>
      </c>
      <c r="G53" s="9" t="s">
        <v>545</v>
      </c>
      <c r="H53" s="9" t="s">
        <v>546</v>
      </c>
      <c r="I53" s="9" t="s">
        <v>547</v>
      </c>
      <c r="J53" s="9" t="s">
        <v>545</v>
      </c>
      <c r="K53" s="28" t="s">
        <v>598</v>
      </c>
      <c r="L53" s="9" t="s">
        <v>546</v>
      </c>
      <c r="M53" s="9" t="s">
        <v>547</v>
      </c>
    </row>
    <row r="54" customFormat="false" ht="15" hidden="false" customHeight="false" outlineLevel="0" collapsed="false">
      <c r="A54" s="21" t="s">
        <v>188</v>
      </c>
      <c r="B54" s="4" t="s">
        <v>335</v>
      </c>
      <c r="C54" s="4" t="n">
        <v>1</v>
      </c>
      <c r="D54" s="9" t="s">
        <v>548</v>
      </c>
      <c r="E54" s="9" t="s">
        <v>549</v>
      </c>
      <c r="F54" s="9" t="s">
        <v>550</v>
      </c>
      <c r="G54" s="9" t="s">
        <v>548</v>
      </c>
      <c r="H54" s="28" t="s">
        <v>597</v>
      </c>
      <c r="I54" s="9" t="s">
        <v>549</v>
      </c>
      <c r="J54" s="9" t="s">
        <v>550</v>
      </c>
      <c r="K54" s="9" t="s">
        <v>548</v>
      </c>
      <c r="L54" s="9" t="s">
        <v>549</v>
      </c>
      <c r="M54" s="9" t="s">
        <v>550</v>
      </c>
    </row>
    <row r="55" customFormat="false" ht="15" hidden="false" customHeight="false" outlineLevel="0" collapsed="false">
      <c r="A55" s="22" t="s">
        <v>187</v>
      </c>
      <c r="B55" s="4" t="s">
        <v>335</v>
      </c>
      <c r="C55" s="4" t="n">
        <v>2</v>
      </c>
      <c r="D55" s="9" t="s">
        <v>551</v>
      </c>
      <c r="E55" s="9" t="s">
        <v>552</v>
      </c>
      <c r="F55" s="28" t="s">
        <v>584</v>
      </c>
      <c r="G55" s="9" t="s">
        <v>553</v>
      </c>
      <c r="H55" s="9" t="s">
        <v>551</v>
      </c>
      <c r="I55" s="9" t="s">
        <v>552</v>
      </c>
      <c r="J55" s="9" t="s">
        <v>553</v>
      </c>
      <c r="K55" s="9" t="s">
        <v>551</v>
      </c>
      <c r="L55" s="9" t="s">
        <v>552</v>
      </c>
      <c r="M55" s="9" t="s">
        <v>553</v>
      </c>
    </row>
    <row r="56" customFormat="false" ht="15" hidden="false" customHeight="false" outlineLevel="0" collapsed="false">
      <c r="A56" s="22" t="s">
        <v>191</v>
      </c>
      <c r="B56" s="4" t="s">
        <v>339</v>
      </c>
      <c r="C56" s="4" t="n">
        <v>2</v>
      </c>
      <c r="D56" s="9" t="s">
        <v>554</v>
      </c>
      <c r="E56" s="9" t="s">
        <v>555</v>
      </c>
      <c r="F56" s="9" t="s">
        <v>556</v>
      </c>
      <c r="G56" s="9" t="s">
        <v>554</v>
      </c>
      <c r="H56" s="9" t="s">
        <v>555</v>
      </c>
      <c r="I56" s="9" t="s">
        <v>556</v>
      </c>
      <c r="J56" s="9" t="s">
        <v>554</v>
      </c>
      <c r="K56" s="9" t="s">
        <v>555</v>
      </c>
      <c r="L56" s="28" t="s">
        <v>585</v>
      </c>
      <c r="M56" s="9" t="s">
        <v>556</v>
      </c>
    </row>
    <row r="57" customFormat="false" ht="15" hidden="false" customHeight="false" outlineLevel="0" collapsed="false">
      <c r="A57" s="22" t="s">
        <v>197</v>
      </c>
      <c r="B57" s="4" t="s">
        <v>339</v>
      </c>
      <c r="C57" s="4" t="n">
        <v>2</v>
      </c>
      <c r="D57" s="9" t="s">
        <v>557</v>
      </c>
      <c r="E57" s="9" t="s">
        <v>558</v>
      </c>
      <c r="F57" s="9" t="s">
        <v>559</v>
      </c>
      <c r="G57" s="9" t="s">
        <v>557</v>
      </c>
      <c r="H57" s="28" t="s">
        <v>583</v>
      </c>
      <c r="I57" s="9" t="s">
        <v>558</v>
      </c>
      <c r="J57" s="9" t="s">
        <v>559</v>
      </c>
      <c r="K57" s="9" t="s">
        <v>557</v>
      </c>
      <c r="L57" s="9" t="s">
        <v>558</v>
      </c>
      <c r="M57" s="9" t="s">
        <v>559</v>
      </c>
    </row>
    <row r="58" customFormat="false" ht="15" hidden="false" customHeight="false" outlineLevel="0" collapsed="false">
      <c r="A58" s="23" t="s">
        <v>193</v>
      </c>
      <c r="B58" s="4" t="s">
        <v>339</v>
      </c>
      <c r="C58" s="4" t="n">
        <v>3</v>
      </c>
      <c r="D58" s="9" t="s">
        <v>560</v>
      </c>
      <c r="E58" s="9" t="s">
        <v>561</v>
      </c>
      <c r="F58" s="9" t="s">
        <v>562</v>
      </c>
      <c r="G58" s="9" t="s">
        <v>560</v>
      </c>
      <c r="H58" s="28" t="s">
        <v>591</v>
      </c>
      <c r="I58" s="9" t="s">
        <v>561</v>
      </c>
      <c r="J58" s="9" t="s">
        <v>562</v>
      </c>
      <c r="K58" s="9" t="s">
        <v>560</v>
      </c>
      <c r="L58" s="9" t="s">
        <v>561</v>
      </c>
      <c r="M58" s="9" t="s">
        <v>562</v>
      </c>
    </row>
    <row r="59" customFormat="false" ht="15" hidden="false" customHeight="false" outlineLevel="0" collapsed="false">
      <c r="A59" s="23" t="s">
        <v>196</v>
      </c>
      <c r="B59" s="4" t="s">
        <v>339</v>
      </c>
      <c r="C59" s="4" t="n">
        <v>3</v>
      </c>
      <c r="D59" s="9" t="s">
        <v>563</v>
      </c>
      <c r="E59" s="9" t="s">
        <v>564</v>
      </c>
      <c r="F59" s="28" t="s">
        <v>599</v>
      </c>
      <c r="G59" s="9" t="s">
        <v>565</v>
      </c>
      <c r="H59" s="9" t="s">
        <v>563</v>
      </c>
      <c r="I59" s="9" t="s">
        <v>564</v>
      </c>
      <c r="J59" s="9" t="s">
        <v>565</v>
      </c>
      <c r="K59" s="9" t="s">
        <v>563</v>
      </c>
      <c r="L59" s="9" t="s">
        <v>564</v>
      </c>
      <c r="M59" s="9" t="s">
        <v>565</v>
      </c>
    </row>
    <row r="60" customFormat="false" ht="15" hidden="false" customHeight="false" outlineLevel="0" collapsed="false">
      <c r="A60" s="24" t="s">
        <v>190</v>
      </c>
      <c r="B60" s="4" t="s">
        <v>339</v>
      </c>
      <c r="C60" s="4" t="n">
        <v>4</v>
      </c>
      <c r="D60" s="9" t="s">
        <v>566</v>
      </c>
      <c r="E60" s="9" t="s">
        <v>567</v>
      </c>
      <c r="F60" s="9" t="s">
        <v>568</v>
      </c>
      <c r="G60" s="28" t="s">
        <v>601</v>
      </c>
      <c r="H60" s="9" t="s">
        <v>566</v>
      </c>
      <c r="I60" s="9" t="s">
        <v>567</v>
      </c>
      <c r="J60" s="9" t="s">
        <v>568</v>
      </c>
      <c r="K60" s="9" t="s">
        <v>566</v>
      </c>
      <c r="L60" s="9" t="s">
        <v>567</v>
      </c>
      <c r="M60" s="9" t="s">
        <v>568</v>
      </c>
    </row>
    <row r="61" customFormat="false" ht="15" hidden="false" customHeight="false" outlineLevel="0" collapsed="false">
      <c r="A61" s="25" t="s">
        <v>194</v>
      </c>
      <c r="B61" s="4" t="s">
        <v>339</v>
      </c>
      <c r="C61" s="4" t="n">
        <v>5</v>
      </c>
      <c r="D61" s="9" t="s">
        <v>569</v>
      </c>
      <c r="E61" s="9" t="s">
        <v>570</v>
      </c>
      <c r="F61" s="9" t="s">
        <v>571</v>
      </c>
      <c r="G61" s="9" t="s">
        <v>569</v>
      </c>
      <c r="H61" s="9" t="s">
        <v>570</v>
      </c>
      <c r="I61" s="28" t="s">
        <v>593</v>
      </c>
      <c r="J61" s="9" t="s">
        <v>571</v>
      </c>
      <c r="K61" s="9" t="s">
        <v>569</v>
      </c>
      <c r="L61" s="9" t="s">
        <v>570</v>
      </c>
      <c r="M61" s="9" t="s">
        <v>571</v>
      </c>
    </row>
    <row r="62" customFormat="false" ht="15" hidden="false" customHeight="false" outlineLevel="0" collapsed="false">
      <c r="A62" s="25" t="s">
        <v>192</v>
      </c>
      <c r="B62" s="4" t="s">
        <v>339</v>
      </c>
      <c r="C62" s="4" t="n">
        <v>5</v>
      </c>
      <c r="D62" s="9" t="s">
        <v>572</v>
      </c>
      <c r="E62" s="9" t="s">
        <v>573</v>
      </c>
      <c r="F62" s="28" t="s">
        <v>595</v>
      </c>
      <c r="G62" s="9" t="s">
        <v>574</v>
      </c>
      <c r="H62" s="9" t="s">
        <v>572</v>
      </c>
      <c r="I62" s="9" t="s">
        <v>573</v>
      </c>
      <c r="J62" s="9" t="s">
        <v>574</v>
      </c>
      <c r="K62" s="9" t="s">
        <v>572</v>
      </c>
      <c r="L62" s="9" t="s">
        <v>573</v>
      </c>
      <c r="M62" s="9" t="s">
        <v>574</v>
      </c>
    </row>
    <row r="63" customFormat="false" ht="15" hidden="false" customHeight="false" outlineLevel="0" collapsed="false">
      <c r="A63" s="26" t="s">
        <v>195</v>
      </c>
      <c r="B63" s="4" t="s">
        <v>339</v>
      </c>
      <c r="C63" s="4" t="n">
        <v>6</v>
      </c>
      <c r="D63" s="9" t="s">
        <v>575</v>
      </c>
      <c r="E63" s="9" t="s">
        <v>576</v>
      </c>
      <c r="F63" s="9" t="s">
        <v>577</v>
      </c>
      <c r="G63" s="9" t="s">
        <v>575</v>
      </c>
      <c r="H63" s="28" t="s">
        <v>587</v>
      </c>
      <c r="I63" s="9" t="s">
        <v>576</v>
      </c>
      <c r="J63" s="9" t="s">
        <v>577</v>
      </c>
      <c r="K63" s="9" t="s">
        <v>575</v>
      </c>
      <c r="L63" s="9" t="s">
        <v>576</v>
      </c>
      <c r="M63" s="9" t="s">
        <v>577</v>
      </c>
    </row>
    <row r="64" customFormat="false" ht="15" hidden="false" customHeight="false" outlineLevel="0" collapsed="false">
      <c r="A64" s="26" t="s">
        <v>198</v>
      </c>
      <c r="B64" s="4" t="s">
        <v>339</v>
      </c>
      <c r="C64" s="4" t="n">
        <v>6</v>
      </c>
      <c r="D64" s="9" t="s">
        <v>578</v>
      </c>
      <c r="E64" s="9" t="s">
        <v>579</v>
      </c>
      <c r="F64" s="28" t="s">
        <v>588</v>
      </c>
      <c r="G64" s="9" t="s">
        <v>580</v>
      </c>
      <c r="H64" s="9" t="s">
        <v>578</v>
      </c>
      <c r="I64" s="9" t="s">
        <v>579</v>
      </c>
      <c r="J64" s="9" t="s">
        <v>580</v>
      </c>
      <c r="K64" s="9" t="s">
        <v>578</v>
      </c>
      <c r="L64" s="9" t="s">
        <v>579</v>
      </c>
      <c r="M64" s="9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8"/>
    <col collapsed="false" customWidth="true" hidden="false" outlineLevel="0" max="5" min="5" style="0" width="38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603</v>
      </c>
    </row>
    <row r="3" customFormat="false" ht="15" hidden="false" customHeight="false" outlineLevel="0" collapsed="false">
      <c r="A3" s="3" t="s">
        <v>604</v>
      </c>
      <c r="B3" s="3" t="s">
        <v>605</v>
      </c>
      <c r="C3" s="3" t="s">
        <v>606</v>
      </c>
      <c r="D3" s="3" t="s">
        <v>219</v>
      </c>
      <c r="E3" s="3" t="s">
        <v>607</v>
      </c>
      <c r="F3" s="3" t="s">
        <v>608</v>
      </c>
    </row>
    <row r="4" customFormat="false" ht="15" hidden="false" customHeight="false" outlineLevel="0" collapsed="false">
      <c r="A4" s="22" t="s">
        <v>401</v>
      </c>
      <c r="B4" s="4" t="s">
        <v>609</v>
      </c>
      <c r="C4" s="4" t="s">
        <v>610</v>
      </c>
      <c r="D4" s="4" t="n">
        <v>2</v>
      </c>
      <c r="E4" s="4" t="s">
        <v>611</v>
      </c>
      <c r="F4" s="4" t="s">
        <v>612</v>
      </c>
    </row>
    <row r="5" customFormat="false" ht="15" hidden="false" customHeight="false" outlineLevel="0" collapsed="false">
      <c r="A5" s="22" t="s">
        <v>402</v>
      </c>
      <c r="B5" s="4" t="s">
        <v>609</v>
      </c>
      <c r="C5" s="4" t="s">
        <v>610</v>
      </c>
      <c r="D5" s="4" t="n">
        <v>2</v>
      </c>
      <c r="E5" s="4" t="s">
        <v>613</v>
      </c>
      <c r="F5" s="4" t="s">
        <v>612</v>
      </c>
    </row>
    <row r="6" customFormat="false" ht="15" hidden="false" customHeight="false" outlineLevel="0" collapsed="false">
      <c r="A6" s="22" t="s">
        <v>403</v>
      </c>
      <c r="B6" s="4" t="s">
        <v>609</v>
      </c>
      <c r="C6" s="4" t="s">
        <v>610</v>
      </c>
      <c r="D6" s="4" t="n">
        <v>2</v>
      </c>
      <c r="E6" s="4" t="s">
        <v>614</v>
      </c>
      <c r="F6" s="4" t="s">
        <v>612</v>
      </c>
    </row>
    <row r="7" customFormat="false" ht="15" hidden="false" customHeight="false" outlineLevel="0" collapsed="false">
      <c r="A7" s="22" t="s">
        <v>404</v>
      </c>
      <c r="B7" s="4" t="s">
        <v>609</v>
      </c>
      <c r="C7" s="4" t="s">
        <v>610</v>
      </c>
      <c r="D7" s="4" t="n">
        <v>2</v>
      </c>
      <c r="E7" s="4" t="s">
        <v>615</v>
      </c>
      <c r="F7" s="4" t="s">
        <v>616</v>
      </c>
    </row>
    <row r="8" customFormat="false" ht="15" hidden="false" customHeight="false" outlineLevel="0" collapsed="false">
      <c r="A8" s="22" t="s">
        <v>405</v>
      </c>
      <c r="B8" s="4" t="s">
        <v>609</v>
      </c>
      <c r="C8" s="4" t="s">
        <v>610</v>
      </c>
      <c r="D8" s="4" t="n">
        <v>2</v>
      </c>
      <c r="E8" s="4" t="s">
        <v>617</v>
      </c>
      <c r="F8" s="4" t="s">
        <v>616</v>
      </c>
    </row>
    <row r="9" customFormat="false" ht="15" hidden="false" customHeight="false" outlineLevel="0" collapsed="false">
      <c r="A9" s="22" t="s">
        <v>406</v>
      </c>
      <c r="B9" s="4" t="s">
        <v>609</v>
      </c>
      <c r="C9" s="4" t="s">
        <v>610</v>
      </c>
      <c r="D9" s="4" t="n">
        <v>2</v>
      </c>
      <c r="E9" s="4" t="s">
        <v>618</v>
      </c>
      <c r="F9" s="4" t="s">
        <v>616</v>
      </c>
    </row>
    <row r="10" customFormat="false" ht="15" hidden="false" customHeight="false" outlineLevel="0" collapsed="false">
      <c r="A10" s="22" t="s">
        <v>408</v>
      </c>
      <c r="B10" s="4" t="s">
        <v>609</v>
      </c>
      <c r="C10" s="4" t="s">
        <v>610</v>
      </c>
      <c r="D10" s="4" t="n">
        <v>2</v>
      </c>
      <c r="E10" s="4" t="s">
        <v>613</v>
      </c>
      <c r="F10" s="4" t="s">
        <v>619</v>
      </c>
    </row>
    <row r="11" customFormat="false" ht="15" hidden="false" customHeight="false" outlineLevel="0" collapsed="false">
      <c r="A11" s="22" t="s">
        <v>409</v>
      </c>
      <c r="B11" s="4" t="s">
        <v>609</v>
      </c>
      <c r="C11" s="4" t="s">
        <v>610</v>
      </c>
      <c r="D11" s="4" t="n">
        <v>2</v>
      </c>
      <c r="E11" s="4" t="s">
        <v>614</v>
      </c>
      <c r="F11" s="4" t="s">
        <v>619</v>
      </c>
    </row>
    <row r="12" customFormat="false" ht="15" hidden="false" customHeight="false" outlineLevel="0" collapsed="false">
      <c r="A12" s="22" t="s">
        <v>407</v>
      </c>
      <c r="B12" s="4" t="s">
        <v>609</v>
      </c>
      <c r="C12" s="4" t="s">
        <v>610</v>
      </c>
      <c r="D12" s="4" t="n">
        <v>2</v>
      </c>
      <c r="E12" s="4" t="s">
        <v>620</v>
      </c>
      <c r="F12" s="4" t="s">
        <v>619</v>
      </c>
    </row>
    <row r="13" customFormat="false" ht="15" hidden="false" customHeight="false" outlineLevel="0" collapsed="false">
      <c r="A13" s="26" t="s">
        <v>410</v>
      </c>
      <c r="B13" s="4" t="s">
        <v>609</v>
      </c>
      <c r="C13" s="4" t="s">
        <v>610</v>
      </c>
      <c r="D13" s="4" t="n">
        <v>6</v>
      </c>
      <c r="E13" s="4" t="s">
        <v>611</v>
      </c>
      <c r="F13" s="4" t="s">
        <v>621</v>
      </c>
    </row>
    <row r="14" customFormat="false" ht="15" hidden="false" customHeight="false" outlineLevel="0" collapsed="false">
      <c r="A14" s="26" t="s">
        <v>411</v>
      </c>
      <c r="B14" s="4" t="s">
        <v>609</v>
      </c>
      <c r="C14" s="4" t="s">
        <v>610</v>
      </c>
      <c r="D14" s="4" t="n">
        <v>6</v>
      </c>
      <c r="E14" s="4" t="s">
        <v>613</v>
      </c>
      <c r="F14" s="4" t="s">
        <v>621</v>
      </c>
    </row>
    <row r="15" customFormat="false" ht="15" hidden="false" customHeight="false" outlineLevel="0" collapsed="false">
      <c r="A15" s="26" t="s">
        <v>412</v>
      </c>
      <c r="B15" s="4" t="s">
        <v>609</v>
      </c>
      <c r="C15" s="4" t="s">
        <v>610</v>
      </c>
      <c r="D15" s="4" t="n">
        <v>6</v>
      </c>
      <c r="E15" s="4" t="s">
        <v>614</v>
      </c>
      <c r="F15" s="4" t="s">
        <v>621</v>
      </c>
    </row>
    <row r="16" customFormat="false" ht="15" hidden="false" customHeight="false" outlineLevel="0" collapsed="false">
      <c r="A16" s="26" t="s">
        <v>415</v>
      </c>
      <c r="B16" s="4" t="s">
        <v>609</v>
      </c>
      <c r="C16" s="4" t="s">
        <v>610</v>
      </c>
      <c r="D16" s="4" t="n">
        <v>6</v>
      </c>
      <c r="E16" s="4" t="s">
        <v>618</v>
      </c>
      <c r="F16" s="4" t="s">
        <v>622</v>
      </c>
    </row>
    <row r="17" customFormat="false" ht="15" hidden="false" customHeight="false" outlineLevel="0" collapsed="false">
      <c r="A17" s="26" t="s">
        <v>413</v>
      </c>
      <c r="B17" s="4" t="s">
        <v>609</v>
      </c>
      <c r="C17" s="4" t="s">
        <v>610</v>
      </c>
      <c r="D17" s="4" t="n">
        <v>6</v>
      </c>
      <c r="E17" s="4" t="s">
        <v>623</v>
      </c>
      <c r="F17" s="4" t="s">
        <v>622</v>
      </c>
    </row>
    <row r="18" customFormat="false" ht="15" hidden="false" customHeight="false" outlineLevel="0" collapsed="false">
      <c r="A18" s="26" t="s">
        <v>414</v>
      </c>
      <c r="B18" s="4" t="s">
        <v>609</v>
      </c>
      <c r="C18" s="4" t="s">
        <v>610</v>
      </c>
      <c r="D18" s="4" t="n">
        <v>6</v>
      </c>
      <c r="E18" s="4" t="s">
        <v>611</v>
      </c>
      <c r="F18" s="4" t="s">
        <v>622</v>
      </c>
    </row>
    <row r="19" customFormat="false" ht="15" hidden="false" customHeight="false" outlineLevel="0" collapsed="false">
      <c r="A19" s="26" t="s">
        <v>418</v>
      </c>
      <c r="B19" s="4" t="s">
        <v>609</v>
      </c>
      <c r="C19" s="4" t="s">
        <v>610</v>
      </c>
      <c r="D19" s="4" t="n">
        <v>6</v>
      </c>
      <c r="E19" s="4" t="s">
        <v>624</v>
      </c>
      <c r="F19" s="4" t="s">
        <v>625</v>
      </c>
    </row>
    <row r="20" customFormat="false" ht="15" hidden="false" customHeight="false" outlineLevel="0" collapsed="false">
      <c r="A20" s="26" t="s">
        <v>416</v>
      </c>
      <c r="B20" s="4" t="s">
        <v>609</v>
      </c>
      <c r="C20" s="4" t="s">
        <v>610</v>
      </c>
      <c r="D20" s="4" t="n">
        <v>6</v>
      </c>
      <c r="E20" s="4" t="s">
        <v>615</v>
      </c>
      <c r="F20" s="4" t="s">
        <v>625</v>
      </c>
    </row>
    <row r="21" customFormat="false" ht="15" hidden="false" customHeight="false" outlineLevel="0" collapsed="false">
      <c r="A21" s="26" t="s">
        <v>417</v>
      </c>
      <c r="B21" s="4" t="s">
        <v>609</v>
      </c>
      <c r="C21" s="4" t="s">
        <v>610</v>
      </c>
      <c r="D21" s="4" t="n">
        <v>6</v>
      </c>
      <c r="E21" s="4" t="s">
        <v>617</v>
      </c>
      <c r="F21" s="4" t="s">
        <v>625</v>
      </c>
    </row>
    <row r="22" customFormat="false" ht="15" hidden="false" customHeight="false" outlineLevel="0" collapsed="false">
      <c r="A22" s="23" t="s">
        <v>419</v>
      </c>
      <c r="B22" s="4" t="s">
        <v>609</v>
      </c>
      <c r="C22" s="4" t="s">
        <v>610</v>
      </c>
      <c r="D22" s="4" t="n">
        <v>3</v>
      </c>
      <c r="E22" s="4" t="s">
        <v>611</v>
      </c>
      <c r="F22" s="4" t="s">
        <v>626</v>
      </c>
    </row>
    <row r="23" customFormat="false" ht="15" hidden="false" customHeight="false" outlineLevel="0" collapsed="false">
      <c r="A23" s="23" t="s">
        <v>420</v>
      </c>
      <c r="B23" s="4" t="s">
        <v>609</v>
      </c>
      <c r="C23" s="4" t="s">
        <v>610</v>
      </c>
      <c r="D23" s="4" t="n">
        <v>3</v>
      </c>
      <c r="E23" s="4" t="s">
        <v>613</v>
      </c>
      <c r="F23" s="4" t="s">
        <v>626</v>
      </c>
    </row>
    <row r="24" customFormat="false" ht="15" hidden="false" customHeight="false" outlineLevel="0" collapsed="false">
      <c r="A24" s="23" t="s">
        <v>421</v>
      </c>
      <c r="B24" s="4" t="s">
        <v>609</v>
      </c>
      <c r="C24" s="4" t="s">
        <v>610</v>
      </c>
      <c r="D24" s="4" t="n">
        <v>3</v>
      </c>
      <c r="E24" s="4" t="s">
        <v>614</v>
      </c>
      <c r="F24" s="4" t="s">
        <v>626</v>
      </c>
    </row>
    <row r="25" customFormat="false" ht="15" hidden="false" customHeight="false" outlineLevel="0" collapsed="false">
      <c r="A25" s="26" t="s">
        <v>422</v>
      </c>
      <c r="B25" s="4" t="s">
        <v>609</v>
      </c>
      <c r="C25" s="4" t="s">
        <v>610</v>
      </c>
      <c r="D25" s="4" t="n">
        <v>6</v>
      </c>
      <c r="E25" s="4" t="s">
        <v>620</v>
      </c>
      <c r="F25" s="4" t="s">
        <v>627</v>
      </c>
    </row>
    <row r="26" customFormat="false" ht="15" hidden="false" customHeight="false" outlineLevel="0" collapsed="false">
      <c r="A26" s="26" t="s">
        <v>423</v>
      </c>
      <c r="B26" s="4" t="s">
        <v>609</v>
      </c>
      <c r="C26" s="4" t="s">
        <v>610</v>
      </c>
      <c r="D26" s="4" t="n">
        <v>6</v>
      </c>
      <c r="E26" s="4" t="s">
        <v>628</v>
      </c>
      <c r="F26" s="4" t="s">
        <v>627</v>
      </c>
    </row>
    <row r="27" customFormat="false" ht="15" hidden="false" customHeight="false" outlineLevel="0" collapsed="false">
      <c r="A27" s="26" t="s">
        <v>424</v>
      </c>
      <c r="B27" s="4" t="s">
        <v>609</v>
      </c>
      <c r="C27" s="4" t="s">
        <v>610</v>
      </c>
      <c r="D27" s="4" t="n">
        <v>6</v>
      </c>
      <c r="E27" s="4" t="s">
        <v>624</v>
      </c>
      <c r="F27" s="4" t="s">
        <v>627</v>
      </c>
    </row>
    <row r="28" customFormat="false" ht="15" hidden="false" customHeight="false" outlineLevel="0" collapsed="false">
      <c r="A28" s="21" t="s">
        <v>425</v>
      </c>
      <c r="B28" s="4" t="s">
        <v>609</v>
      </c>
      <c r="C28" s="4" t="s">
        <v>610</v>
      </c>
      <c r="D28" s="4" t="n">
        <v>1</v>
      </c>
      <c r="E28" s="4" t="s">
        <v>611</v>
      </c>
      <c r="F28" s="4" t="s">
        <v>629</v>
      </c>
    </row>
    <row r="29" customFormat="false" ht="15" hidden="false" customHeight="false" outlineLevel="0" collapsed="false">
      <c r="A29" s="21" t="s">
        <v>426</v>
      </c>
      <c r="B29" s="4" t="s">
        <v>609</v>
      </c>
      <c r="C29" s="4" t="s">
        <v>610</v>
      </c>
      <c r="D29" s="4" t="n">
        <v>1</v>
      </c>
      <c r="E29" s="4" t="s">
        <v>613</v>
      </c>
      <c r="F29" s="4" t="s">
        <v>629</v>
      </c>
    </row>
    <row r="30" customFormat="false" ht="15" hidden="false" customHeight="false" outlineLevel="0" collapsed="false">
      <c r="A30" s="21" t="s">
        <v>427</v>
      </c>
      <c r="B30" s="4" t="s">
        <v>609</v>
      </c>
      <c r="C30" s="4" t="s">
        <v>610</v>
      </c>
      <c r="D30" s="4" t="n">
        <v>1</v>
      </c>
      <c r="E30" s="4" t="s">
        <v>614</v>
      </c>
      <c r="F30" s="4" t="s">
        <v>629</v>
      </c>
    </row>
    <row r="31" customFormat="false" ht="15" hidden="false" customHeight="false" outlineLevel="0" collapsed="false">
      <c r="A31" s="21" t="s">
        <v>428</v>
      </c>
      <c r="B31" s="4" t="s">
        <v>609</v>
      </c>
      <c r="C31" s="4" t="s">
        <v>610</v>
      </c>
      <c r="D31" s="4" t="n">
        <v>1</v>
      </c>
      <c r="E31" s="4" t="s">
        <v>615</v>
      </c>
      <c r="F31" s="4" t="s">
        <v>630</v>
      </c>
    </row>
    <row r="32" customFormat="false" ht="15" hidden="false" customHeight="false" outlineLevel="0" collapsed="false">
      <c r="A32" s="21" t="s">
        <v>429</v>
      </c>
      <c r="B32" s="4" t="s">
        <v>609</v>
      </c>
      <c r="C32" s="4" t="s">
        <v>610</v>
      </c>
      <c r="D32" s="4" t="n">
        <v>1</v>
      </c>
      <c r="E32" s="4" t="s">
        <v>617</v>
      </c>
      <c r="F32" s="4" t="s">
        <v>630</v>
      </c>
    </row>
    <row r="33" customFormat="false" ht="15" hidden="false" customHeight="false" outlineLevel="0" collapsed="false">
      <c r="A33" s="21" t="s">
        <v>430</v>
      </c>
      <c r="B33" s="4" t="s">
        <v>609</v>
      </c>
      <c r="C33" s="4" t="s">
        <v>610</v>
      </c>
      <c r="D33" s="4" t="n">
        <v>1</v>
      </c>
      <c r="E33" s="4" t="s">
        <v>618</v>
      </c>
      <c r="F33" s="4" t="s">
        <v>630</v>
      </c>
    </row>
    <row r="34" customFormat="false" ht="15" hidden="false" customHeight="false" outlineLevel="0" collapsed="false">
      <c r="A34" s="23" t="s">
        <v>433</v>
      </c>
      <c r="B34" s="4" t="s">
        <v>609</v>
      </c>
      <c r="C34" s="4" t="s">
        <v>610</v>
      </c>
      <c r="D34" s="4" t="n">
        <v>3</v>
      </c>
      <c r="E34" s="4" t="s">
        <v>618</v>
      </c>
      <c r="F34" s="4" t="s">
        <v>631</v>
      </c>
    </row>
    <row r="35" customFormat="false" ht="15" hidden="false" customHeight="false" outlineLevel="0" collapsed="false">
      <c r="A35" s="23" t="s">
        <v>431</v>
      </c>
      <c r="B35" s="4" t="s">
        <v>609</v>
      </c>
      <c r="C35" s="4" t="s">
        <v>610</v>
      </c>
      <c r="D35" s="4" t="n">
        <v>3</v>
      </c>
      <c r="E35" s="4" t="s">
        <v>623</v>
      </c>
      <c r="F35" s="4" t="s">
        <v>631</v>
      </c>
    </row>
    <row r="36" customFormat="false" ht="15" hidden="false" customHeight="false" outlineLevel="0" collapsed="false">
      <c r="A36" s="23" t="s">
        <v>432</v>
      </c>
      <c r="B36" s="4" t="s">
        <v>609</v>
      </c>
      <c r="C36" s="4" t="s">
        <v>610</v>
      </c>
      <c r="D36" s="4" t="n">
        <v>3</v>
      </c>
      <c r="E36" s="4" t="s">
        <v>611</v>
      </c>
      <c r="F36" s="4" t="s">
        <v>631</v>
      </c>
    </row>
    <row r="37" customFormat="false" ht="15" hidden="false" customHeight="false" outlineLevel="0" collapsed="false">
      <c r="A37" s="25" t="s">
        <v>434</v>
      </c>
      <c r="B37" s="4" t="s">
        <v>609</v>
      </c>
      <c r="C37" s="4" t="s">
        <v>610</v>
      </c>
      <c r="D37" s="4" t="n">
        <v>5</v>
      </c>
      <c r="E37" s="4" t="s">
        <v>611</v>
      </c>
      <c r="F37" s="4" t="s">
        <v>632</v>
      </c>
    </row>
    <row r="38" customFormat="false" ht="15" hidden="false" customHeight="false" outlineLevel="0" collapsed="false">
      <c r="A38" s="25" t="s">
        <v>435</v>
      </c>
      <c r="B38" s="4" t="s">
        <v>609</v>
      </c>
      <c r="C38" s="4" t="s">
        <v>610</v>
      </c>
      <c r="D38" s="4" t="n">
        <v>5</v>
      </c>
      <c r="E38" s="4" t="s">
        <v>613</v>
      </c>
      <c r="F38" s="4" t="s">
        <v>632</v>
      </c>
    </row>
    <row r="39" customFormat="false" ht="15" hidden="false" customHeight="false" outlineLevel="0" collapsed="false">
      <c r="A39" s="25" t="s">
        <v>436</v>
      </c>
      <c r="B39" s="4" t="s">
        <v>609</v>
      </c>
      <c r="C39" s="4" t="s">
        <v>610</v>
      </c>
      <c r="D39" s="4" t="n">
        <v>5</v>
      </c>
      <c r="E39" s="4" t="s">
        <v>614</v>
      </c>
      <c r="F39" s="4" t="s">
        <v>632</v>
      </c>
    </row>
    <row r="40" customFormat="false" ht="15" hidden="false" customHeight="false" outlineLevel="0" collapsed="false">
      <c r="A40" s="25" t="s">
        <v>439</v>
      </c>
      <c r="B40" s="4" t="s">
        <v>609</v>
      </c>
      <c r="C40" s="4" t="s">
        <v>610</v>
      </c>
      <c r="D40" s="4" t="n">
        <v>5</v>
      </c>
      <c r="E40" s="4" t="s">
        <v>618</v>
      </c>
      <c r="F40" s="4" t="s">
        <v>633</v>
      </c>
    </row>
    <row r="41" customFormat="false" ht="15" hidden="false" customHeight="false" outlineLevel="0" collapsed="false">
      <c r="A41" s="25" t="s">
        <v>437</v>
      </c>
      <c r="B41" s="4" t="s">
        <v>609</v>
      </c>
      <c r="C41" s="4" t="s">
        <v>610</v>
      </c>
      <c r="D41" s="4" t="n">
        <v>5</v>
      </c>
      <c r="E41" s="4" t="s">
        <v>623</v>
      </c>
      <c r="F41" s="4" t="s">
        <v>633</v>
      </c>
    </row>
    <row r="42" customFormat="false" ht="15" hidden="false" customHeight="false" outlineLevel="0" collapsed="false">
      <c r="A42" s="25" t="s">
        <v>438</v>
      </c>
      <c r="B42" s="4" t="s">
        <v>609</v>
      </c>
      <c r="C42" s="4" t="s">
        <v>610</v>
      </c>
      <c r="D42" s="4" t="n">
        <v>5</v>
      </c>
      <c r="E42" s="4" t="s">
        <v>611</v>
      </c>
      <c r="F42" s="4" t="s">
        <v>633</v>
      </c>
    </row>
    <row r="43" customFormat="false" ht="15" hidden="false" customHeight="false" outlineLevel="0" collapsed="false">
      <c r="A43" s="21" t="s">
        <v>442</v>
      </c>
      <c r="B43" s="4" t="s">
        <v>609</v>
      </c>
      <c r="C43" s="4" t="s">
        <v>610</v>
      </c>
      <c r="D43" s="4" t="n">
        <v>1</v>
      </c>
      <c r="E43" s="4" t="s">
        <v>614</v>
      </c>
      <c r="F43" s="4" t="s">
        <v>634</v>
      </c>
    </row>
    <row r="44" customFormat="false" ht="15" hidden="false" customHeight="false" outlineLevel="0" collapsed="false">
      <c r="A44" s="21" t="s">
        <v>440</v>
      </c>
      <c r="B44" s="4" t="s">
        <v>609</v>
      </c>
      <c r="C44" s="4" t="s">
        <v>610</v>
      </c>
      <c r="D44" s="4" t="n">
        <v>1</v>
      </c>
      <c r="E44" s="4" t="s">
        <v>620</v>
      </c>
      <c r="F44" s="4" t="s">
        <v>634</v>
      </c>
    </row>
    <row r="45" customFormat="false" ht="15" hidden="false" customHeight="false" outlineLevel="0" collapsed="false">
      <c r="A45" s="21" t="s">
        <v>441</v>
      </c>
      <c r="B45" s="4" t="s">
        <v>609</v>
      </c>
      <c r="C45" s="4" t="s">
        <v>610</v>
      </c>
      <c r="D45" s="4" t="n">
        <v>1</v>
      </c>
      <c r="E45" s="4" t="s">
        <v>628</v>
      </c>
      <c r="F45" s="4" t="s">
        <v>634</v>
      </c>
    </row>
    <row r="46" customFormat="false" ht="15" hidden="false" customHeight="false" outlineLevel="0" collapsed="false">
      <c r="A46" s="25" t="s">
        <v>443</v>
      </c>
      <c r="B46" s="4" t="s">
        <v>609</v>
      </c>
      <c r="C46" s="4" t="s">
        <v>610</v>
      </c>
      <c r="D46" s="4" t="n">
        <v>5</v>
      </c>
      <c r="E46" s="4" t="s">
        <v>615</v>
      </c>
      <c r="F46" s="4" t="s">
        <v>635</v>
      </c>
    </row>
    <row r="47" customFormat="false" ht="15" hidden="false" customHeight="false" outlineLevel="0" collapsed="false">
      <c r="A47" s="25" t="s">
        <v>444</v>
      </c>
      <c r="B47" s="4" t="s">
        <v>609</v>
      </c>
      <c r="C47" s="4" t="s">
        <v>610</v>
      </c>
      <c r="D47" s="4" t="n">
        <v>5</v>
      </c>
      <c r="E47" s="4" t="s">
        <v>617</v>
      </c>
      <c r="F47" s="4" t="s">
        <v>635</v>
      </c>
    </row>
    <row r="48" customFormat="false" ht="15" hidden="false" customHeight="false" outlineLevel="0" collapsed="false">
      <c r="A48" s="25" t="s">
        <v>445</v>
      </c>
      <c r="B48" s="4" t="s">
        <v>609</v>
      </c>
      <c r="C48" s="4" t="s">
        <v>610</v>
      </c>
      <c r="D48" s="4" t="n">
        <v>5</v>
      </c>
      <c r="E48" s="4" t="s">
        <v>618</v>
      </c>
      <c r="F48" s="4" t="s">
        <v>635</v>
      </c>
    </row>
    <row r="49" customFormat="false" ht="15" hidden="false" customHeight="false" outlineLevel="0" collapsed="false">
      <c r="A49" s="26" t="s">
        <v>447</v>
      </c>
      <c r="B49" s="4" t="s">
        <v>609</v>
      </c>
      <c r="C49" s="4" t="s">
        <v>610</v>
      </c>
      <c r="D49" s="4" t="n">
        <v>6</v>
      </c>
      <c r="E49" s="4" t="s">
        <v>613</v>
      </c>
      <c r="F49" s="4" t="s">
        <v>636</v>
      </c>
    </row>
    <row r="50" customFormat="false" ht="15" hidden="false" customHeight="false" outlineLevel="0" collapsed="false">
      <c r="A50" s="26" t="s">
        <v>448</v>
      </c>
      <c r="B50" s="4" t="s">
        <v>609</v>
      </c>
      <c r="C50" s="4" t="s">
        <v>610</v>
      </c>
      <c r="D50" s="4" t="n">
        <v>6</v>
      </c>
      <c r="E50" s="4" t="s">
        <v>614</v>
      </c>
      <c r="F50" s="4" t="s">
        <v>636</v>
      </c>
    </row>
    <row r="51" customFormat="false" ht="15" hidden="false" customHeight="false" outlineLevel="0" collapsed="false">
      <c r="A51" s="26" t="s">
        <v>446</v>
      </c>
      <c r="B51" s="4" t="s">
        <v>609</v>
      </c>
      <c r="C51" s="4" t="s">
        <v>610</v>
      </c>
      <c r="D51" s="4" t="n">
        <v>6</v>
      </c>
      <c r="E51" s="4" t="s">
        <v>620</v>
      </c>
      <c r="F51" s="4" t="s">
        <v>636</v>
      </c>
    </row>
    <row r="52" customFormat="false" ht="15" hidden="false" customHeight="false" outlineLevel="0" collapsed="false">
      <c r="A52" s="22" t="s">
        <v>450</v>
      </c>
      <c r="B52" s="4" t="s">
        <v>609</v>
      </c>
      <c r="C52" s="4" t="s">
        <v>610</v>
      </c>
      <c r="D52" s="4" t="n">
        <v>2</v>
      </c>
      <c r="E52" s="4" t="s">
        <v>617</v>
      </c>
      <c r="F52" s="4" t="s">
        <v>637</v>
      </c>
    </row>
    <row r="53" customFormat="false" ht="15" hidden="false" customHeight="false" outlineLevel="0" collapsed="false">
      <c r="A53" s="22" t="s">
        <v>451</v>
      </c>
      <c r="B53" s="4" t="s">
        <v>609</v>
      </c>
      <c r="C53" s="4" t="s">
        <v>610</v>
      </c>
      <c r="D53" s="4" t="n">
        <v>2</v>
      </c>
      <c r="E53" s="4" t="s">
        <v>618</v>
      </c>
      <c r="F53" s="4" t="s">
        <v>637</v>
      </c>
    </row>
    <row r="54" customFormat="false" ht="15" hidden="false" customHeight="false" outlineLevel="0" collapsed="false">
      <c r="A54" s="22" t="s">
        <v>449</v>
      </c>
      <c r="B54" s="4" t="s">
        <v>609</v>
      </c>
      <c r="C54" s="4" t="s">
        <v>610</v>
      </c>
      <c r="D54" s="4" t="n">
        <v>2</v>
      </c>
      <c r="E54" s="4" t="s">
        <v>623</v>
      </c>
      <c r="F54" s="4" t="s">
        <v>637</v>
      </c>
    </row>
    <row r="55" customFormat="false" ht="15" hidden="false" customHeight="false" outlineLevel="0" collapsed="false">
      <c r="A55" s="24" t="s">
        <v>453</v>
      </c>
      <c r="B55" s="4" t="s">
        <v>609</v>
      </c>
      <c r="C55" s="4" t="s">
        <v>610</v>
      </c>
      <c r="D55" s="4" t="n">
        <v>4</v>
      </c>
      <c r="E55" s="4" t="s">
        <v>613</v>
      </c>
      <c r="F55" s="4" t="s">
        <v>638</v>
      </c>
    </row>
    <row r="56" customFormat="false" ht="15" hidden="false" customHeight="false" outlineLevel="0" collapsed="false">
      <c r="A56" s="24" t="s">
        <v>454</v>
      </c>
      <c r="B56" s="4" t="s">
        <v>609</v>
      </c>
      <c r="C56" s="4" t="s">
        <v>610</v>
      </c>
      <c r="D56" s="4" t="n">
        <v>4</v>
      </c>
      <c r="E56" s="4" t="s">
        <v>614</v>
      </c>
      <c r="F56" s="4" t="s">
        <v>638</v>
      </c>
    </row>
    <row r="57" customFormat="false" ht="15" hidden="false" customHeight="false" outlineLevel="0" collapsed="false">
      <c r="A57" s="24" t="s">
        <v>452</v>
      </c>
      <c r="B57" s="4" t="s">
        <v>609</v>
      </c>
      <c r="C57" s="4" t="s">
        <v>610</v>
      </c>
      <c r="D57" s="4" t="n">
        <v>4</v>
      </c>
      <c r="E57" s="4" t="s">
        <v>620</v>
      </c>
      <c r="F57" s="4" t="s">
        <v>638</v>
      </c>
    </row>
    <row r="58" customFormat="false" ht="15" hidden="false" customHeight="false" outlineLevel="0" collapsed="false">
      <c r="A58" s="21" t="s">
        <v>456</v>
      </c>
      <c r="B58" s="4" t="s">
        <v>609</v>
      </c>
      <c r="C58" s="4" t="s">
        <v>610</v>
      </c>
      <c r="D58" s="4" t="n">
        <v>1</v>
      </c>
      <c r="E58" s="4" t="s">
        <v>617</v>
      </c>
      <c r="F58" s="4" t="s">
        <v>639</v>
      </c>
    </row>
    <row r="59" customFormat="false" ht="15" hidden="false" customHeight="false" outlineLevel="0" collapsed="false">
      <c r="A59" s="21" t="s">
        <v>457</v>
      </c>
      <c r="B59" s="4" t="s">
        <v>609</v>
      </c>
      <c r="C59" s="4" t="s">
        <v>610</v>
      </c>
      <c r="D59" s="4" t="n">
        <v>1</v>
      </c>
      <c r="E59" s="4" t="s">
        <v>618</v>
      </c>
      <c r="F59" s="4" t="s">
        <v>639</v>
      </c>
    </row>
    <row r="60" customFormat="false" ht="15" hidden="false" customHeight="false" outlineLevel="0" collapsed="false">
      <c r="A60" s="21" t="s">
        <v>455</v>
      </c>
      <c r="B60" s="4" t="s">
        <v>609</v>
      </c>
      <c r="C60" s="4" t="s">
        <v>610</v>
      </c>
      <c r="D60" s="4" t="n">
        <v>1</v>
      </c>
      <c r="E60" s="4" t="s">
        <v>623</v>
      </c>
      <c r="F60" s="4" t="s">
        <v>639</v>
      </c>
    </row>
    <row r="61" customFormat="false" ht="15" hidden="false" customHeight="false" outlineLevel="0" collapsed="false">
      <c r="A61" s="21" t="s">
        <v>458</v>
      </c>
      <c r="B61" s="4" t="s">
        <v>609</v>
      </c>
      <c r="C61" s="4" t="s">
        <v>610</v>
      </c>
      <c r="D61" s="4" t="n">
        <v>1</v>
      </c>
      <c r="E61" s="4" t="s">
        <v>620</v>
      </c>
      <c r="F61" s="4" t="s">
        <v>640</v>
      </c>
    </row>
    <row r="62" customFormat="false" ht="15" hidden="false" customHeight="false" outlineLevel="0" collapsed="false">
      <c r="A62" s="21" t="s">
        <v>459</v>
      </c>
      <c r="B62" s="4" t="s">
        <v>609</v>
      </c>
      <c r="C62" s="4" t="s">
        <v>610</v>
      </c>
      <c r="D62" s="4" t="n">
        <v>1</v>
      </c>
      <c r="E62" s="4" t="s">
        <v>628</v>
      </c>
      <c r="F62" s="4" t="s">
        <v>640</v>
      </c>
    </row>
    <row r="63" customFormat="false" ht="15" hidden="false" customHeight="false" outlineLevel="0" collapsed="false">
      <c r="A63" s="21" t="s">
        <v>460</v>
      </c>
      <c r="B63" s="4" t="s">
        <v>609</v>
      </c>
      <c r="C63" s="4" t="s">
        <v>610</v>
      </c>
      <c r="D63" s="4" t="n">
        <v>1</v>
      </c>
      <c r="E63" s="4" t="s">
        <v>624</v>
      </c>
      <c r="F63" s="4" t="s">
        <v>640</v>
      </c>
    </row>
    <row r="64" customFormat="false" ht="15" hidden="false" customHeight="false" outlineLevel="0" collapsed="false">
      <c r="A64" s="22" t="s">
        <v>461</v>
      </c>
      <c r="B64" s="4" t="s">
        <v>609</v>
      </c>
      <c r="C64" s="4" t="s">
        <v>610</v>
      </c>
      <c r="D64" s="4" t="n">
        <v>2</v>
      </c>
      <c r="E64" s="4" t="s">
        <v>620</v>
      </c>
      <c r="F64" s="4" t="s">
        <v>641</v>
      </c>
    </row>
    <row r="65" customFormat="false" ht="15" hidden="false" customHeight="false" outlineLevel="0" collapsed="false">
      <c r="A65" s="22" t="s">
        <v>462</v>
      </c>
      <c r="B65" s="4" t="s">
        <v>609</v>
      </c>
      <c r="C65" s="4" t="s">
        <v>610</v>
      </c>
      <c r="D65" s="4" t="n">
        <v>2</v>
      </c>
      <c r="E65" s="4" t="s">
        <v>628</v>
      </c>
      <c r="F65" s="4" t="s">
        <v>641</v>
      </c>
    </row>
    <row r="66" customFormat="false" ht="15" hidden="false" customHeight="false" outlineLevel="0" collapsed="false">
      <c r="A66" s="22" t="s">
        <v>463</v>
      </c>
      <c r="B66" s="4" t="s">
        <v>609</v>
      </c>
      <c r="C66" s="4" t="s">
        <v>610</v>
      </c>
      <c r="D66" s="4" t="n">
        <v>2</v>
      </c>
      <c r="E66" s="4" t="s">
        <v>624</v>
      </c>
      <c r="F66" s="4" t="s">
        <v>641</v>
      </c>
    </row>
    <row r="67" customFormat="false" ht="15" hidden="false" customHeight="false" outlineLevel="0" collapsed="false">
      <c r="A67" s="22" t="s">
        <v>464</v>
      </c>
      <c r="B67" s="4" t="s">
        <v>609</v>
      </c>
      <c r="C67" s="4" t="s">
        <v>610</v>
      </c>
      <c r="D67" s="4" t="n">
        <v>2</v>
      </c>
      <c r="E67" s="4" t="s">
        <v>623</v>
      </c>
      <c r="F67" s="4" t="s">
        <v>642</v>
      </c>
    </row>
    <row r="68" customFormat="false" ht="15" hidden="false" customHeight="false" outlineLevel="0" collapsed="false">
      <c r="A68" s="22" t="s">
        <v>465</v>
      </c>
      <c r="B68" s="4" t="s">
        <v>609</v>
      </c>
      <c r="C68" s="4" t="s">
        <v>610</v>
      </c>
      <c r="D68" s="4" t="n">
        <v>2</v>
      </c>
      <c r="E68" s="4" t="s">
        <v>611</v>
      </c>
      <c r="F68" s="4" t="s">
        <v>642</v>
      </c>
    </row>
    <row r="69" customFormat="false" ht="15" hidden="false" customHeight="false" outlineLevel="0" collapsed="false">
      <c r="A69" s="22" t="s">
        <v>466</v>
      </c>
      <c r="B69" s="4" t="s">
        <v>609</v>
      </c>
      <c r="C69" s="4" t="s">
        <v>610</v>
      </c>
      <c r="D69" s="4" t="n">
        <v>2</v>
      </c>
      <c r="E69" s="4" t="s">
        <v>613</v>
      </c>
      <c r="F69" s="4" t="s">
        <v>642</v>
      </c>
    </row>
    <row r="70" customFormat="false" ht="15" hidden="false" customHeight="false" outlineLevel="0" collapsed="false">
      <c r="A70" s="23" t="s">
        <v>469</v>
      </c>
      <c r="B70" s="4" t="s">
        <v>609</v>
      </c>
      <c r="C70" s="4" t="s">
        <v>610</v>
      </c>
      <c r="D70" s="4" t="n">
        <v>3</v>
      </c>
      <c r="E70" s="4" t="s">
        <v>624</v>
      </c>
      <c r="F70" s="4" t="s">
        <v>643</v>
      </c>
    </row>
    <row r="71" customFormat="false" ht="15" hidden="false" customHeight="false" outlineLevel="0" collapsed="false">
      <c r="A71" s="23" t="s">
        <v>467</v>
      </c>
      <c r="B71" s="4" t="s">
        <v>609</v>
      </c>
      <c r="C71" s="4" t="s">
        <v>610</v>
      </c>
      <c r="D71" s="4" t="n">
        <v>3</v>
      </c>
      <c r="E71" s="4" t="s">
        <v>615</v>
      </c>
      <c r="F71" s="4" t="s">
        <v>643</v>
      </c>
    </row>
    <row r="72" customFormat="false" ht="15" hidden="false" customHeight="false" outlineLevel="0" collapsed="false">
      <c r="A72" s="23" t="s">
        <v>468</v>
      </c>
      <c r="B72" s="4" t="s">
        <v>609</v>
      </c>
      <c r="C72" s="4" t="s">
        <v>610</v>
      </c>
      <c r="D72" s="4" t="n">
        <v>3</v>
      </c>
      <c r="E72" s="4" t="s">
        <v>617</v>
      </c>
      <c r="F72" s="4" t="s">
        <v>643</v>
      </c>
    </row>
    <row r="73" customFormat="false" ht="15" hidden="false" customHeight="false" outlineLevel="0" collapsed="false">
      <c r="A73" s="24" t="s">
        <v>472</v>
      </c>
      <c r="B73" s="4" t="s">
        <v>609</v>
      </c>
      <c r="C73" s="4" t="s">
        <v>610</v>
      </c>
      <c r="D73" s="4" t="n">
        <v>4</v>
      </c>
      <c r="E73" s="4" t="s">
        <v>618</v>
      </c>
      <c r="F73" s="4" t="s">
        <v>644</v>
      </c>
    </row>
    <row r="74" customFormat="false" ht="15" hidden="false" customHeight="false" outlineLevel="0" collapsed="false">
      <c r="A74" s="24" t="s">
        <v>470</v>
      </c>
      <c r="B74" s="4" t="s">
        <v>609</v>
      </c>
      <c r="C74" s="4" t="s">
        <v>610</v>
      </c>
      <c r="D74" s="4" t="n">
        <v>4</v>
      </c>
      <c r="E74" s="4" t="s">
        <v>623</v>
      </c>
      <c r="F74" s="4" t="s">
        <v>644</v>
      </c>
    </row>
    <row r="75" customFormat="false" ht="15" hidden="false" customHeight="false" outlineLevel="0" collapsed="false">
      <c r="A75" s="24" t="s">
        <v>471</v>
      </c>
      <c r="B75" s="4" t="s">
        <v>609</v>
      </c>
      <c r="C75" s="4" t="s">
        <v>610</v>
      </c>
      <c r="D75" s="4" t="n">
        <v>4</v>
      </c>
      <c r="E75" s="4" t="s">
        <v>611</v>
      </c>
      <c r="F75" s="4" t="s">
        <v>644</v>
      </c>
    </row>
    <row r="76" customFormat="false" ht="15" hidden="false" customHeight="false" outlineLevel="0" collapsed="false">
      <c r="A76" s="24" t="s">
        <v>473</v>
      </c>
      <c r="B76" s="4" t="s">
        <v>609</v>
      </c>
      <c r="C76" s="4" t="s">
        <v>610</v>
      </c>
      <c r="D76" s="4" t="n">
        <v>4</v>
      </c>
      <c r="E76" s="4" t="s">
        <v>615</v>
      </c>
      <c r="F76" s="4" t="s">
        <v>645</v>
      </c>
    </row>
    <row r="77" customFormat="false" ht="15" hidden="false" customHeight="false" outlineLevel="0" collapsed="false">
      <c r="A77" s="24" t="s">
        <v>474</v>
      </c>
      <c r="B77" s="4" t="s">
        <v>609</v>
      </c>
      <c r="C77" s="4" t="s">
        <v>610</v>
      </c>
      <c r="D77" s="4" t="n">
        <v>4</v>
      </c>
      <c r="E77" s="4" t="s">
        <v>617</v>
      </c>
      <c r="F77" s="4" t="s">
        <v>645</v>
      </c>
    </row>
    <row r="78" customFormat="false" ht="15" hidden="false" customHeight="false" outlineLevel="0" collapsed="false">
      <c r="A78" s="24" t="s">
        <v>475</v>
      </c>
      <c r="B78" s="4" t="s">
        <v>609</v>
      </c>
      <c r="C78" s="4" t="s">
        <v>610</v>
      </c>
      <c r="D78" s="4" t="n">
        <v>4</v>
      </c>
      <c r="E78" s="4" t="s">
        <v>618</v>
      </c>
      <c r="F78" s="4" t="s">
        <v>645</v>
      </c>
    </row>
    <row r="79" customFormat="false" ht="15" hidden="false" customHeight="false" outlineLevel="0" collapsed="false">
      <c r="A79" s="25" t="s">
        <v>477</v>
      </c>
      <c r="B79" s="4" t="s">
        <v>609</v>
      </c>
      <c r="C79" s="4" t="s">
        <v>610</v>
      </c>
      <c r="D79" s="4" t="n">
        <v>5</v>
      </c>
      <c r="E79" s="4" t="s">
        <v>628</v>
      </c>
      <c r="F79" s="4" t="s">
        <v>646</v>
      </c>
    </row>
    <row r="80" customFormat="false" ht="15" hidden="false" customHeight="false" outlineLevel="0" collapsed="false">
      <c r="A80" s="25" t="s">
        <v>478</v>
      </c>
      <c r="B80" s="4" t="s">
        <v>609</v>
      </c>
      <c r="C80" s="4" t="s">
        <v>610</v>
      </c>
      <c r="D80" s="4" t="n">
        <v>5</v>
      </c>
      <c r="E80" s="4" t="s">
        <v>624</v>
      </c>
      <c r="F80" s="4" t="s">
        <v>646</v>
      </c>
    </row>
    <row r="81" customFormat="false" ht="15" hidden="false" customHeight="false" outlineLevel="0" collapsed="false">
      <c r="A81" s="25" t="s">
        <v>476</v>
      </c>
      <c r="B81" s="4" t="s">
        <v>609</v>
      </c>
      <c r="C81" s="4" t="s">
        <v>610</v>
      </c>
      <c r="D81" s="4" t="n">
        <v>5</v>
      </c>
      <c r="E81" s="4" t="s">
        <v>615</v>
      </c>
      <c r="F81" s="4" t="s">
        <v>646</v>
      </c>
    </row>
    <row r="82" customFormat="false" ht="15" hidden="false" customHeight="false" outlineLevel="0" collapsed="false">
      <c r="A82" s="21" t="s">
        <v>479</v>
      </c>
      <c r="B82" s="4" t="s">
        <v>609</v>
      </c>
      <c r="C82" s="4" t="s">
        <v>610</v>
      </c>
      <c r="D82" s="4" t="n">
        <v>1</v>
      </c>
      <c r="E82" s="4" t="s">
        <v>623</v>
      </c>
      <c r="F82" s="4" t="s">
        <v>647</v>
      </c>
    </row>
    <row r="83" customFormat="false" ht="15" hidden="false" customHeight="false" outlineLevel="0" collapsed="false">
      <c r="A83" s="21" t="s">
        <v>480</v>
      </c>
      <c r="B83" s="4" t="s">
        <v>609</v>
      </c>
      <c r="C83" s="4" t="s">
        <v>610</v>
      </c>
      <c r="D83" s="4" t="n">
        <v>1</v>
      </c>
      <c r="E83" s="4" t="s">
        <v>611</v>
      </c>
      <c r="F83" s="4" t="s">
        <v>647</v>
      </c>
    </row>
    <row r="84" customFormat="false" ht="15" hidden="false" customHeight="false" outlineLevel="0" collapsed="false">
      <c r="A84" s="21" t="s">
        <v>481</v>
      </c>
      <c r="B84" s="4" t="s">
        <v>609</v>
      </c>
      <c r="C84" s="4" t="s">
        <v>610</v>
      </c>
      <c r="D84" s="4" t="n">
        <v>1</v>
      </c>
      <c r="E84" s="4" t="s">
        <v>613</v>
      </c>
      <c r="F84" s="4" t="s">
        <v>647</v>
      </c>
    </row>
    <row r="85" customFormat="false" ht="15" hidden="false" customHeight="false" outlineLevel="0" collapsed="false">
      <c r="A85" s="21" t="s">
        <v>484</v>
      </c>
      <c r="B85" s="4" t="s">
        <v>609</v>
      </c>
      <c r="C85" s="4" t="s">
        <v>610</v>
      </c>
      <c r="D85" s="4" t="n">
        <v>1</v>
      </c>
      <c r="E85" s="4" t="s">
        <v>624</v>
      </c>
      <c r="F85" s="4" t="s">
        <v>648</v>
      </c>
    </row>
    <row r="86" customFormat="false" ht="15" hidden="false" customHeight="false" outlineLevel="0" collapsed="false">
      <c r="A86" s="21" t="s">
        <v>482</v>
      </c>
      <c r="B86" s="4" t="s">
        <v>609</v>
      </c>
      <c r="C86" s="4" t="s">
        <v>610</v>
      </c>
      <c r="D86" s="4" t="n">
        <v>1</v>
      </c>
      <c r="E86" s="4" t="s">
        <v>615</v>
      </c>
      <c r="F86" s="4" t="s">
        <v>648</v>
      </c>
    </row>
    <row r="87" customFormat="false" ht="15" hidden="false" customHeight="false" outlineLevel="0" collapsed="false">
      <c r="A87" s="21" t="s">
        <v>483</v>
      </c>
      <c r="B87" s="4" t="s">
        <v>609</v>
      </c>
      <c r="C87" s="4" t="s">
        <v>610</v>
      </c>
      <c r="D87" s="4" t="n">
        <v>1</v>
      </c>
      <c r="E87" s="4" t="s">
        <v>617</v>
      </c>
      <c r="F87" s="4" t="s">
        <v>648</v>
      </c>
    </row>
    <row r="88" customFormat="false" ht="15" hidden="false" customHeight="false" outlineLevel="0" collapsed="false">
      <c r="A88" s="23" t="s">
        <v>485</v>
      </c>
      <c r="B88" s="4" t="s">
        <v>609</v>
      </c>
      <c r="C88" s="4" t="s">
        <v>610</v>
      </c>
      <c r="D88" s="4" t="n">
        <v>3</v>
      </c>
      <c r="E88" s="4" t="s">
        <v>620</v>
      </c>
      <c r="F88" s="4" t="s">
        <v>649</v>
      </c>
    </row>
    <row r="89" customFormat="false" ht="15" hidden="false" customHeight="false" outlineLevel="0" collapsed="false">
      <c r="A89" s="23" t="s">
        <v>486</v>
      </c>
      <c r="B89" s="4" t="s">
        <v>609</v>
      </c>
      <c r="C89" s="4" t="s">
        <v>610</v>
      </c>
      <c r="D89" s="4" t="n">
        <v>3</v>
      </c>
      <c r="E89" s="4" t="s">
        <v>628</v>
      </c>
      <c r="F89" s="4" t="s">
        <v>649</v>
      </c>
    </row>
    <row r="90" customFormat="false" ht="15" hidden="false" customHeight="false" outlineLevel="0" collapsed="false">
      <c r="A90" s="23" t="s">
        <v>487</v>
      </c>
      <c r="B90" s="4" t="s">
        <v>609</v>
      </c>
      <c r="C90" s="4" t="s">
        <v>610</v>
      </c>
      <c r="D90" s="4" t="n">
        <v>3</v>
      </c>
      <c r="E90" s="4" t="s">
        <v>624</v>
      </c>
      <c r="F90" s="4" t="s">
        <v>649</v>
      </c>
    </row>
    <row r="91" customFormat="false" ht="15" hidden="false" customHeight="false" outlineLevel="0" collapsed="false">
      <c r="A91" s="23" t="s">
        <v>489</v>
      </c>
      <c r="B91" s="4" t="s">
        <v>609</v>
      </c>
      <c r="C91" s="4" t="s">
        <v>610</v>
      </c>
      <c r="D91" s="4" t="n">
        <v>3</v>
      </c>
      <c r="E91" s="4" t="s">
        <v>613</v>
      </c>
      <c r="F91" s="4" t="s">
        <v>650</v>
      </c>
    </row>
    <row r="92" customFormat="false" ht="15" hidden="false" customHeight="false" outlineLevel="0" collapsed="false">
      <c r="A92" s="23" t="s">
        <v>490</v>
      </c>
      <c r="B92" s="4" t="s">
        <v>609</v>
      </c>
      <c r="C92" s="4" t="s">
        <v>610</v>
      </c>
      <c r="D92" s="4" t="n">
        <v>3</v>
      </c>
      <c r="E92" s="4" t="s">
        <v>614</v>
      </c>
      <c r="F92" s="4" t="s">
        <v>650</v>
      </c>
    </row>
    <row r="93" customFormat="false" ht="15" hidden="false" customHeight="false" outlineLevel="0" collapsed="false">
      <c r="A93" s="23" t="s">
        <v>488</v>
      </c>
      <c r="B93" s="4" t="s">
        <v>609</v>
      </c>
      <c r="C93" s="4" t="s">
        <v>610</v>
      </c>
      <c r="D93" s="4" t="n">
        <v>3</v>
      </c>
      <c r="E93" s="4" t="s">
        <v>620</v>
      </c>
      <c r="F93" s="4" t="s">
        <v>650</v>
      </c>
    </row>
    <row r="94" customFormat="false" ht="15" hidden="false" customHeight="false" outlineLevel="0" collapsed="false">
      <c r="A94" s="24" t="s">
        <v>492</v>
      </c>
      <c r="B94" s="4" t="s">
        <v>609</v>
      </c>
      <c r="C94" s="4" t="s">
        <v>610</v>
      </c>
      <c r="D94" s="4" t="n">
        <v>4</v>
      </c>
      <c r="E94" s="4" t="s">
        <v>628</v>
      </c>
      <c r="F94" s="4" t="s">
        <v>651</v>
      </c>
    </row>
    <row r="95" customFormat="false" ht="15" hidden="false" customHeight="false" outlineLevel="0" collapsed="false">
      <c r="A95" s="24" t="s">
        <v>493</v>
      </c>
      <c r="B95" s="4" t="s">
        <v>609</v>
      </c>
      <c r="C95" s="4" t="s">
        <v>610</v>
      </c>
      <c r="D95" s="4" t="n">
        <v>4</v>
      </c>
      <c r="E95" s="4" t="s">
        <v>624</v>
      </c>
      <c r="F95" s="4" t="s">
        <v>651</v>
      </c>
    </row>
    <row r="96" customFormat="false" ht="15" hidden="false" customHeight="false" outlineLevel="0" collapsed="false">
      <c r="A96" s="24" t="s">
        <v>491</v>
      </c>
      <c r="B96" s="4" t="s">
        <v>609</v>
      </c>
      <c r="C96" s="4" t="s">
        <v>610</v>
      </c>
      <c r="D96" s="4" t="n">
        <v>4</v>
      </c>
      <c r="E96" s="4" t="s">
        <v>615</v>
      </c>
      <c r="F96" s="4" t="s">
        <v>651</v>
      </c>
    </row>
    <row r="97" customFormat="false" ht="15" hidden="false" customHeight="false" outlineLevel="0" collapsed="false">
      <c r="A97" s="24" t="s">
        <v>496</v>
      </c>
      <c r="B97" s="4" t="s">
        <v>609</v>
      </c>
      <c r="C97" s="4" t="s">
        <v>610</v>
      </c>
      <c r="D97" s="4" t="n">
        <v>4</v>
      </c>
      <c r="E97" s="4" t="s">
        <v>614</v>
      </c>
      <c r="F97" s="4" t="s">
        <v>652</v>
      </c>
    </row>
    <row r="98" customFormat="false" ht="15" hidden="false" customHeight="false" outlineLevel="0" collapsed="false">
      <c r="A98" s="24" t="s">
        <v>494</v>
      </c>
      <c r="B98" s="4" t="s">
        <v>609</v>
      </c>
      <c r="C98" s="4" t="s">
        <v>610</v>
      </c>
      <c r="D98" s="4" t="n">
        <v>4</v>
      </c>
      <c r="E98" s="4" t="s">
        <v>620</v>
      </c>
      <c r="F98" s="4" t="s">
        <v>652</v>
      </c>
    </row>
    <row r="99" customFormat="false" ht="15" hidden="false" customHeight="false" outlineLevel="0" collapsed="false">
      <c r="A99" s="24" t="s">
        <v>495</v>
      </c>
      <c r="B99" s="4" t="s">
        <v>609</v>
      </c>
      <c r="C99" s="4" t="s">
        <v>610</v>
      </c>
      <c r="D99" s="4" t="n">
        <v>4</v>
      </c>
      <c r="E99" s="4" t="s">
        <v>628</v>
      </c>
      <c r="F99" s="4" t="s">
        <v>652</v>
      </c>
    </row>
    <row r="100" customFormat="false" ht="15" hidden="false" customHeight="false" outlineLevel="0" collapsed="false">
      <c r="A100" s="24" t="s">
        <v>497</v>
      </c>
      <c r="B100" s="4" t="s">
        <v>609</v>
      </c>
      <c r="C100" s="4" t="s">
        <v>610</v>
      </c>
      <c r="D100" s="4" t="n">
        <v>4</v>
      </c>
      <c r="E100" s="4" t="s">
        <v>623</v>
      </c>
      <c r="F100" s="4" t="s">
        <v>653</v>
      </c>
    </row>
    <row r="101" customFormat="false" ht="15" hidden="false" customHeight="false" outlineLevel="0" collapsed="false">
      <c r="A101" s="24" t="s">
        <v>498</v>
      </c>
      <c r="B101" s="4" t="s">
        <v>609</v>
      </c>
      <c r="C101" s="4" t="s">
        <v>610</v>
      </c>
      <c r="D101" s="4" t="n">
        <v>4</v>
      </c>
      <c r="E101" s="4" t="s">
        <v>611</v>
      </c>
      <c r="F101" s="4" t="s">
        <v>653</v>
      </c>
    </row>
    <row r="102" customFormat="false" ht="15" hidden="false" customHeight="false" outlineLevel="0" collapsed="false">
      <c r="A102" s="24" t="s">
        <v>499</v>
      </c>
      <c r="B102" s="4" t="s">
        <v>609</v>
      </c>
      <c r="C102" s="4" t="s">
        <v>610</v>
      </c>
      <c r="D102" s="4" t="n">
        <v>4</v>
      </c>
      <c r="E102" s="4" t="s">
        <v>613</v>
      </c>
      <c r="F102" s="4" t="s">
        <v>653</v>
      </c>
    </row>
    <row r="103" customFormat="false" ht="15" hidden="false" customHeight="false" outlineLevel="0" collapsed="false">
      <c r="A103" s="25" t="s">
        <v>501</v>
      </c>
      <c r="B103" s="4" t="s">
        <v>609</v>
      </c>
      <c r="C103" s="4" t="s">
        <v>610</v>
      </c>
      <c r="D103" s="4" t="n">
        <v>5</v>
      </c>
      <c r="E103" s="4" t="s">
        <v>613</v>
      </c>
      <c r="F103" s="4" t="s">
        <v>654</v>
      </c>
    </row>
    <row r="104" customFormat="false" ht="15" hidden="false" customHeight="false" outlineLevel="0" collapsed="false">
      <c r="A104" s="25" t="s">
        <v>502</v>
      </c>
      <c r="B104" s="4" t="s">
        <v>609</v>
      </c>
      <c r="C104" s="4" t="s">
        <v>610</v>
      </c>
      <c r="D104" s="4" t="n">
        <v>5</v>
      </c>
      <c r="E104" s="4" t="s">
        <v>614</v>
      </c>
      <c r="F104" s="4" t="s">
        <v>654</v>
      </c>
    </row>
    <row r="105" customFormat="false" ht="15" hidden="false" customHeight="false" outlineLevel="0" collapsed="false">
      <c r="A105" s="25" t="s">
        <v>500</v>
      </c>
      <c r="B105" s="4" t="s">
        <v>609</v>
      </c>
      <c r="C105" s="4" t="s">
        <v>610</v>
      </c>
      <c r="D105" s="4" t="n">
        <v>5</v>
      </c>
      <c r="E105" s="4" t="s">
        <v>620</v>
      </c>
      <c r="F105" s="4" t="s">
        <v>654</v>
      </c>
    </row>
    <row r="106" customFormat="false" ht="15" hidden="false" customHeight="false" outlineLevel="0" collapsed="false">
      <c r="A106" s="22" t="s">
        <v>505</v>
      </c>
      <c r="B106" s="4" t="s">
        <v>609</v>
      </c>
      <c r="C106" s="4" t="s">
        <v>610</v>
      </c>
      <c r="D106" s="4" t="n">
        <v>2</v>
      </c>
      <c r="E106" s="4" t="s">
        <v>624</v>
      </c>
      <c r="F106" s="4" t="s">
        <v>655</v>
      </c>
    </row>
    <row r="107" customFormat="false" ht="15" hidden="false" customHeight="false" outlineLevel="0" collapsed="false">
      <c r="A107" s="22" t="s">
        <v>503</v>
      </c>
      <c r="B107" s="4" t="s">
        <v>609</v>
      </c>
      <c r="C107" s="4" t="s">
        <v>610</v>
      </c>
      <c r="D107" s="4" t="n">
        <v>2</v>
      </c>
      <c r="E107" s="4" t="s">
        <v>615</v>
      </c>
      <c r="F107" s="4" t="s">
        <v>655</v>
      </c>
    </row>
    <row r="108" customFormat="false" ht="15" hidden="false" customHeight="false" outlineLevel="0" collapsed="false">
      <c r="A108" s="22" t="s">
        <v>504</v>
      </c>
      <c r="B108" s="4" t="s">
        <v>609</v>
      </c>
      <c r="C108" s="4" t="s">
        <v>610</v>
      </c>
      <c r="D108" s="4" t="n">
        <v>2</v>
      </c>
      <c r="E108" s="4" t="s">
        <v>617</v>
      </c>
      <c r="F108" s="4" t="s">
        <v>655</v>
      </c>
    </row>
    <row r="109" customFormat="false" ht="15" hidden="false" customHeight="false" outlineLevel="0" collapsed="false">
      <c r="A109" s="21" t="s">
        <v>507</v>
      </c>
      <c r="B109" s="4" t="s">
        <v>609</v>
      </c>
      <c r="C109" s="4" t="s">
        <v>610</v>
      </c>
      <c r="D109" s="4" t="n">
        <v>1</v>
      </c>
      <c r="E109" s="4" t="s">
        <v>613</v>
      </c>
      <c r="F109" s="4" t="s">
        <v>656</v>
      </c>
    </row>
    <row r="110" customFormat="false" ht="15" hidden="false" customHeight="false" outlineLevel="0" collapsed="false">
      <c r="A110" s="21" t="s">
        <v>508</v>
      </c>
      <c r="B110" s="4" t="s">
        <v>609</v>
      </c>
      <c r="C110" s="4" t="s">
        <v>610</v>
      </c>
      <c r="D110" s="4" t="n">
        <v>1</v>
      </c>
      <c r="E110" s="4" t="s">
        <v>614</v>
      </c>
      <c r="F110" s="4" t="s">
        <v>656</v>
      </c>
    </row>
    <row r="111" customFormat="false" ht="15" hidden="false" customHeight="false" outlineLevel="0" collapsed="false">
      <c r="A111" s="21" t="s">
        <v>506</v>
      </c>
      <c r="B111" s="4" t="s">
        <v>609</v>
      </c>
      <c r="C111" s="4" t="s">
        <v>610</v>
      </c>
      <c r="D111" s="4" t="n">
        <v>1</v>
      </c>
      <c r="E111" s="4" t="s">
        <v>620</v>
      </c>
      <c r="F111" s="4" t="s">
        <v>656</v>
      </c>
    </row>
    <row r="112" customFormat="false" ht="15" hidden="false" customHeight="false" outlineLevel="0" collapsed="false">
      <c r="A112" s="24" t="s">
        <v>510</v>
      </c>
      <c r="B112" s="4" t="s">
        <v>609</v>
      </c>
      <c r="C112" s="4" t="s">
        <v>610</v>
      </c>
      <c r="D112" s="4" t="n">
        <v>4</v>
      </c>
      <c r="E112" s="4" t="s">
        <v>617</v>
      </c>
      <c r="F112" s="4" t="s">
        <v>657</v>
      </c>
    </row>
    <row r="113" customFormat="false" ht="15" hidden="false" customHeight="false" outlineLevel="0" collapsed="false">
      <c r="A113" s="24" t="s">
        <v>511</v>
      </c>
      <c r="B113" s="4" t="s">
        <v>609</v>
      </c>
      <c r="C113" s="4" t="s">
        <v>610</v>
      </c>
      <c r="D113" s="4" t="n">
        <v>4</v>
      </c>
      <c r="E113" s="4" t="s">
        <v>618</v>
      </c>
      <c r="F113" s="4" t="s">
        <v>657</v>
      </c>
    </row>
    <row r="114" customFormat="false" ht="15" hidden="false" customHeight="false" outlineLevel="0" collapsed="false">
      <c r="A114" s="24" t="s">
        <v>509</v>
      </c>
      <c r="B114" s="4" t="s">
        <v>609</v>
      </c>
      <c r="C114" s="4" t="s">
        <v>610</v>
      </c>
      <c r="D114" s="4" t="n">
        <v>4</v>
      </c>
      <c r="E114" s="4" t="s">
        <v>623</v>
      </c>
      <c r="F114" s="4" t="s">
        <v>657</v>
      </c>
    </row>
    <row r="115" customFormat="false" ht="15" hidden="false" customHeight="false" outlineLevel="0" collapsed="false">
      <c r="A115" s="24" t="s">
        <v>514</v>
      </c>
      <c r="B115" s="4" t="s">
        <v>609</v>
      </c>
      <c r="C115" s="4" t="s">
        <v>610</v>
      </c>
      <c r="D115" s="4" t="n">
        <v>4</v>
      </c>
      <c r="E115" s="4" t="s">
        <v>624</v>
      </c>
      <c r="F115" s="4" t="s">
        <v>658</v>
      </c>
    </row>
    <row r="116" customFormat="false" ht="15" hidden="false" customHeight="false" outlineLevel="0" collapsed="false">
      <c r="A116" s="24" t="s">
        <v>512</v>
      </c>
      <c r="B116" s="4" t="s">
        <v>609</v>
      </c>
      <c r="C116" s="4" t="s">
        <v>610</v>
      </c>
      <c r="D116" s="4" t="n">
        <v>4</v>
      </c>
      <c r="E116" s="4" t="s">
        <v>615</v>
      </c>
      <c r="F116" s="4" t="s">
        <v>658</v>
      </c>
    </row>
    <row r="117" customFormat="false" ht="15" hidden="false" customHeight="false" outlineLevel="0" collapsed="false">
      <c r="A117" s="24" t="s">
        <v>513</v>
      </c>
      <c r="B117" s="4" t="s">
        <v>609</v>
      </c>
      <c r="C117" s="4" t="s">
        <v>610</v>
      </c>
      <c r="D117" s="4" t="n">
        <v>4</v>
      </c>
      <c r="E117" s="4" t="s">
        <v>617</v>
      </c>
      <c r="F117" s="4" t="s">
        <v>658</v>
      </c>
    </row>
    <row r="118" customFormat="false" ht="15" hidden="false" customHeight="false" outlineLevel="0" collapsed="false">
      <c r="A118" s="23" t="s">
        <v>515</v>
      </c>
      <c r="B118" s="4" t="s">
        <v>609</v>
      </c>
      <c r="C118" s="4" t="s">
        <v>610</v>
      </c>
      <c r="D118" s="4" t="n">
        <v>3</v>
      </c>
      <c r="E118" s="4" t="s">
        <v>623</v>
      </c>
      <c r="F118" s="4" t="s">
        <v>659</v>
      </c>
    </row>
    <row r="119" customFormat="false" ht="15" hidden="false" customHeight="false" outlineLevel="0" collapsed="false">
      <c r="A119" s="23" t="s">
        <v>516</v>
      </c>
      <c r="B119" s="4" t="s">
        <v>609</v>
      </c>
      <c r="C119" s="4" t="s">
        <v>610</v>
      </c>
      <c r="D119" s="4" t="n">
        <v>3</v>
      </c>
      <c r="E119" s="4" t="s">
        <v>611</v>
      </c>
      <c r="F119" s="4" t="s">
        <v>659</v>
      </c>
    </row>
    <row r="120" customFormat="false" ht="15" hidden="false" customHeight="false" outlineLevel="0" collapsed="false">
      <c r="A120" s="23" t="s">
        <v>517</v>
      </c>
      <c r="B120" s="4" t="s">
        <v>609</v>
      </c>
      <c r="C120" s="4" t="s">
        <v>610</v>
      </c>
      <c r="D120" s="4" t="n">
        <v>3</v>
      </c>
      <c r="E120" s="4" t="s">
        <v>613</v>
      </c>
      <c r="F120" s="4" t="s">
        <v>659</v>
      </c>
    </row>
    <row r="121" customFormat="false" ht="15" hidden="false" customHeight="false" outlineLevel="0" collapsed="false">
      <c r="A121" s="21" t="s">
        <v>518</v>
      </c>
      <c r="B121" s="4" t="s">
        <v>609</v>
      </c>
      <c r="C121" s="4" t="s">
        <v>610</v>
      </c>
      <c r="D121" s="4" t="n">
        <v>1</v>
      </c>
      <c r="E121" s="4" t="s">
        <v>615</v>
      </c>
      <c r="F121" s="4" t="s">
        <v>660</v>
      </c>
    </row>
    <row r="122" customFormat="false" ht="15" hidden="false" customHeight="false" outlineLevel="0" collapsed="false">
      <c r="A122" s="21" t="s">
        <v>519</v>
      </c>
      <c r="B122" s="4" t="s">
        <v>609</v>
      </c>
      <c r="C122" s="4" t="s">
        <v>610</v>
      </c>
      <c r="D122" s="4" t="n">
        <v>1</v>
      </c>
      <c r="E122" s="4" t="s">
        <v>617</v>
      </c>
      <c r="F122" s="4" t="s">
        <v>660</v>
      </c>
    </row>
    <row r="123" customFormat="false" ht="15" hidden="false" customHeight="false" outlineLevel="0" collapsed="false">
      <c r="A123" s="21" t="s">
        <v>520</v>
      </c>
      <c r="B123" s="4" t="s">
        <v>609</v>
      </c>
      <c r="C123" s="4" t="s">
        <v>610</v>
      </c>
      <c r="D123" s="4" t="n">
        <v>1</v>
      </c>
      <c r="E123" s="4" t="s">
        <v>618</v>
      </c>
      <c r="F123" s="4" t="s">
        <v>660</v>
      </c>
    </row>
    <row r="124" customFormat="false" ht="15" hidden="false" customHeight="false" outlineLevel="0" collapsed="false">
      <c r="A124" s="21" t="s">
        <v>521</v>
      </c>
      <c r="B124" s="4" t="s">
        <v>609</v>
      </c>
      <c r="C124" s="4" t="s">
        <v>610</v>
      </c>
      <c r="D124" s="4" t="n">
        <v>1</v>
      </c>
      <c r="E124" s="4" t="s">
        <v>620</v>
      </c>
      <c r="F124" s="4" t="s">
        <v>661</v>
      </c>
    </row>
    <row r="125" customFormat="false" ht="15" hidden="false" customHeight="false" outlineLevel="0" collapsed="false">
      <c r="A125" s="21" t="s">
        <v>522</v>
      </c>
      <c r="B125" s="4" t="s">
        <v>609</v>
      </c>
      <c r="C125" s="4" t="s">
        <v>610</v>
      </c>
      <c r="D125" s="4" t="n">
        <v>1</v>
      </c>
      <c r="E125" s="4" t="s">
        <v>628</v>
      </c>
      <c r="F125" s="4" t="s">
        <v>661</v>
      </c>
    </row>
    <row r="126" customFormat="false" ht="15" hidden="false" customHeight="false" outlineLevel="0" collapsed="false">
      <c r="A126" s="21" t="s">
        <v>523</v>
      </c>
      <c r="B126" s="4" t="s">
        <v>609</v>
      </c>
      <c r="C126" s="4" t="s">
        <v>610</v>
      </c>
      <c r="D126" s="4" t="n">
        <v>1</v>
      </c>
      <c r="E126" s="4" t="s">
        <v>624</v>
      </c>
      <c r="F126" s="4" t="s">
        <v>661</v>
      </c>
    </row>
    <row r="127" customFormat="false" ht="15" hidden="false" customHeight="false" outlineLevel="0" collapsed="false">
      <c r="A127" s="22" t="s">
        <v>524</v>
      </c>
      <c r="B127" s="4" t="s">
        <v>609</v>
      </c>
      <c r="C127" s="4" t="s">
        <v>610</v>
      </c>
      <c r="D127" s="4" t="n">
        <v>2</v>
      </c>
      <c r="E127" s="4" t="s">
        <v>611</v>
      </c>
      <c r="F127" s="4" t="s">
        <v>662</v>
      </c>
    </row>
    <row r="128" customFormat="false" ht="15" hidden="false" customHeight="false" outlineLevel="0" collapsed="false">
      <c r="A128" s="22" t="s">
        <v>525</v>
      </c>
      <c r="B128" s="4" t="s">
        <v>609</v>
      </c>
      <c r="C128" s="4" t="s">
        <v>610</v>
      </c>
      <c r="D128" s="4" t="n">
        <v>2</v>
      </c>
      <c r="E128" s="4" t="s">
        <v>613</v>
      </c>
      <c r="F128" s="4" t="s">
        <v>662</v>
      </c>
    </row>
    <row r="129" customFormat="false" ht="15" hidden="false" customHeight="false" outlineLevel="0" collapsed="false">
      <c r="A129" s="22" t="s">
        <v>526</v>
      </c>
      <c r="B129" s="4" t="s">
        <v>609</v>
      </c>
      <c r="C129" s="4" t="s">
        <v>610</v>
      </c>
      <c r="D129" s="4" t="n">
        <v>2</v>
      </c>
      <c r="E129" s="4" t="s">
        <v>614</v>
      </c>
      <c r="F129" s="4" t="s">
        <v>662</v>
      </c>
    </row>
    <row r="130" customFormat="false" ht="15" hidden="false" customHeight="false" outlineLevel="0" collapsed="false">
      <c r="A130" s="23" t="s">
        <v>527</v>
      </c>
      <c r="B130" s="4" t="s">
        <v>609</v>
      </c>
      <c r="C130" s="4" t="s">
        <v>610</v>
      </c>
      <c r="D130" s="4" t="n">
        <v>3</v>
      </c>
      <c r="E130" s="4" t="s">
        <v>615</v>
      </c>
      <c r="F130" s="4" t="s">
        <v>663</v>
      </c>
    </row>
    <row r="131" customFormat="false" ht="15" hidden="false" customHeight="false" outlineLevel="0" collapsed="false">
      <c r="A131" s="23" t="s">
        <v>528</v>
      </c>
      <c r="B131" s="4" t="s">
        <v>609</v>
      </c>
      <c r="C131" s="4" t="s">
        <v>610</v>
      </c>
      <c r="D131" s="4" t="n">
        <v>3</v>
      </c>
      <c r="E131" s="4" t="s">
        <v>617</v>
      </c>
      <c r="F131" s="4" t="s">
        <v>663</v>
      </c>
    </row>
    <row r="132" customFormat="false" ht="15" hidden="false" customHeight="false" outlineLevel="0" collapsed="false">
      <c r="A132" s="23" t="s">
        <v>529</v>
      </c>
      <c r="B132" s="4" t="s">
        <v>609</v>
      </c>
      <c r="C132" s="4" t="s">
        <v>610</v>
      </c>
      <c r="D132" s="4" t="n">
        <v>3</v>
      </c>
      <c r="E132" s="4" t="s">
        <v>618</v>
      </c>
      <c r="F132" s="4" t="s">
        <v>663</v>
      </c>
    </row>
    <row r="133" customFormat="false" ht="15" hidden="false" customHeight="false" outlineLevel="0" collapsed="false">
      <c r="A133" s="25" t="s">
        <v>530</v>
      </c>
      <c r="B133" s="4" t="s">
        <v>609</v>
      </c>
      <c r="C133" s="4" t="s">
        <v>610</v>
      </c>
      <c r="D133" s="4" t="n">
        <v>5</v>
      </c>
      <c r="E133" s="4" t="s">
        <v>623</v>
      </c>
      <c r="F133" s="4" t="s">
        <v>664</v>
      </c>
    </row>
    <row r="134" customFormat="false" ht="15" hidden="false" customHeight="false" outlineLevel="0" collapsed="false">
      <c r="A134" s="25" t="s">
        <v>531</v>
      </c>
      <c r="B134" s="4" t="s">
        <v>609</v>
      </c>
      <c r="C134" s="4" t="s">
        <v>610</v>
      </c>
      <c r="D134" s="4" t="n">
        <v>5</v>
      </c>
      <c r="E134" s="4" t="s">
        <v>611</v>
      </c>
      <c r="F134" s="4" t="s">
        <v>664</v>
      </c>
    </row>
    <row r="135" customFormat="false" ht="15" hidden="false" customHeight="false" outlineLevel="0" collapsed="false">
      <c r="A135" s="25" t="s">
        <v>532</v>
      </c>
      <c r="B135" s="4" t="s">
        <v>609</v>
      </c>
      <c r="C135" s="4" t="s">
        <v>610</v>
      </c>
      <c r="D135" s="4" t="n">
        <v>5</v>
      </c>
      <c r="E135" s="4" t="s">
        <v>613</v>
      </c>
      <c r="F135" s="4" t="s">
        <v>664</v>
      </c>
    </row>
    <row r="136" customFormat="false" ht="15" hidden="false" customHeight="false" outlineLevel="0" collapsed="false">
      <c r="A136" s="25" t="s">
        <v>534</v>
      </c>
      <c r="B136" s="4" t="s">
        <v>609</v>
      </c>
      <c r="C136" s="4" t="s">
        <v>610</v>
      </c>
      <c r="D136" s="4" t="n">
        <v>5</v>
      </c>
      <c r="E136" s="4" t="s">
        <v>617</v>
      </c>
      <c r="F136" s="4" t="s">
        <v>665</v>
      </c>
    </row>
    <row r="137" customFormat="false" ht="15" hidden="false" customHeight="false" outlineLevel="0" collapsed="false">
      <c r="A137" s="25" t="s">
        <v>535</v>
      </c>
      <c r="B137" s="4" t="s">
        <v>609</v>
      </c>
      <c r="C137" s="4" t="s">
        <v>610</v>
      </c>
      <c r="D137" s="4" t="n">
        <v>5</v>
      </c>
      <c r="E137" s="4" t="s">
        <v>618</v>
      </c>
      <c r="F137" s="4" t="s">
        <v>665</v>
      </c>
    </row>
    <row r="138" customFormat="false" ht="15" hidden="false" customHeight="false" outlineLevel="0" collapsed="false">
      <c r="A138" s="25" t="s">
        <v>533</v>
      </c>
      <c r="B138" s="4" t="s">
        <v>609</v>
      </c>
      <c r="C138" s="4" t="s">
        <v>610</v>
      </c>
      <c r="D138" s="4" t="n">
        <v>5</v>
      </c>
      <c r="E138" s="4" t="s">
        <v>623</v>
      </c>
      <c r="F138" s="4" t="s">
        <v>665</v>
      </c>
    </row>
    <row r="139" customFormat="false" ht="15" hidden="false" customHeight="false" outlineLevel="0" collapsed="false">
      <c r="A139" s="26" t="s">
        <v>536</v>
      </c>
      <c r="B139" s="4" t="s">
        <v>609</v>
      </c>
      <c r="C139" s="4" t="s">
        <v>610</v>
      </c>
      <c r="D139" s="4" t="n">
        <v>6</v>
      </c>
      <c r="E139" s="4" t="s">
        <v>623</v>
      </c>
      <c r="F139" s="4" t="s">
        <v>666</v>
      </c>
    </row>
    <row r="140" customFormat="false" ht="15" hidden="false" customHeight="false" outlineLevel="0" collapsed="false">
      <c r="A140" s="26" t="s">
        <v>537</v>
      </c>
      <c r="B140" s="4" t="s">
        <v>609</v>
      </c>
      <c r="C140" s="4" t="s">
        <v>610</v>
      </c>
      <c r="D140" s="4" t="n">
        <v>6</v>
      </c>
      <c r="E140" s="4" t="s">
        <v>611</v>
      </c>
      <c r="F140" s="4" t="s">
        <v>666</v>
      </c>
    </row>
    <row r="141" customFormat="false" ht="15" hidden="false" customHeight="false" outlineLevel="0" collapsed="false">
      <c r="A141" s="26" t="s">
        <v>538</v>
      </c>
      <c r="B141" s="4" t="s">
        <v>609</v>
      </c>
      <c r="C141" s="4" t="s">
        <v>610</v>
      </c>
      <c r="D141" s="4" t="n">
        <v>6</v>
      </c>
      <c r="E141" s="4" t="s">
        <v>613</v>
      </c>
      <c r="F141" s="4" t="s">
        <v>666</v>
      </c>
    </row>
    <row r="142" customFormat="false" ht="15" hidden="false" customHeight="false" outlineLevel="0" collapsed="false">
      <c r="A142" s="26" t="s">
        <v>540</v>
      </c>
      <c r="B142" s="4" t="s">
        <v>609</v>
      </c>
      <c r="C142" s="4" t="s">
        <v>610</v>
      </c>
      <c r="D142" s="4" t="n">
        <v>6</v>
      </c>
      <c r="E142" s="4" t="s">
        <v>617</v>
      </c>
      <c r="F142" s="4" t="s">
        <v>667</v>
      </c>
    </row>
    <row r="143" customFormat="false" ht="15" hidden="false" customHeight="false" outlineLevel="0" collapsed="false">
      <c r="A143" s="26" t="s">
        <v>541</v>
      </c>
      <c r="B143" s="4" t="s">
        <v>609</v>
      </c>
      <c r="C143" s="4" t="s">
        <v>610</v>
      </c>
      <c r="D143" s="4" t="n">
        <v>6</v>
      </c>
      <c r="E143" s="4" t="s">
        <v>618</v>
      </c>
      <c r="F143" s="4" t="s">
        <v>667</v>
      </c>
    </row>
    <row r="144" customFormat="false" ht="15" hidden="false" customHeight="false" outlineLevel="0" collapsed="false">
      <c r="A144" s="26" t="s">
        <v>539</v>
      </c>
      <c r="B144" s="4" t="s">
        <v>609</v>
      </c>
      <c r="C144" s="4" t="s">
        <v>610</v>
      </c>
      <c r="D144" s="4" t="n">
        <v>6</v>
      </c>
      <c r="E144" s="4" t="s">
        <v>623</v>
      </c>
      <c r="F144" s="4" t="s">
        <v>667</v>
      </c>
    </row>
    <row r="145" customFormat="false" ht="15" hidden="false" customHeight="false" outlineLevel="0" collapsed="false">
      <c r="A145" s="21" t="s">
        <v>544</v>
      </c>
      <c r="B145" s="4" t="s">
        <v>609</v>
      </c>
      <c r="C145" s="4" t="s">
        <v>610</v>
      </c>
      <c r="D145" s="4" t="n">
        <v>1</v>
      </c>
      <c r="E145" s="4" t="s">
        <v>618</v>
      </c>
      <c r="F145" s="4" t="s">
        <v>668</v>
      </c>
    </row>
    <row r="146" customFormat="false" ht="15" hidden="false" customHeight="false" outlineLevel="0" collapsed="false">
      <c r="A146" s="21" t="s">
        <v>542</v>
      </c>
      <c r="B146" s="4" t="s">
        <v>609</v>
      </c>
      <c r="C146" s="4" t="s">
        <v>610</v>
      </c>
      <c r="D146" s="4" t="n">
        <v>1</v>
      </c>
      <c r="E146" s="4" t="s">
        <v>623</v>
      </c>
      <c r="F146" s="4" t="s">
        <v>668</v>
      </c>
    </row>
    <row r="147" customFormat="false" ht="15" hidden="false" customHeight="false" outlineLevel="0" collapsed="false">
      <c r="A147" s="21" t="s">
        <v>543</v>
      </c>
      <c r="B147" s="4" t="s">
        <v>609</v>
      </c>
      <c r="C147" s="4" t="s">
        <v>610</v>
      </c>
      <c r="D147" s="4" t="n">
        <v>1</v>
      </c>
      <c r="E147" s="4" t="s">
        <v>611</v>
      </c>
      <c r="F147" s="4" t="s">
        <v>668</v>
      </c>
    </row>
    <row r="148" customFormat="false" ht="15" hidden="false" customHeight="false" outlineLevel="0" collapsed="false">
      <c r="A148" s="22" t="s">
        <v>546</v>
      </c>
      <c r="B148" s="4" t="s">
        <v>609</v>
      </c>
      <c r="C148" s="4" t="s">
        <v>610</v>
      </c>
      <c r="D148" s="4" t="n">
        <v>2</v>
      </c>
      <c r="E148" s="4" t="s">
        <v>617</v>
      </c>
      <c r="F148" s="4" t="s">
        <v>669</v>
      </c>
    </row>
    <row r="149" customFormat="false" ht="15" hidden="false" customHeight="false" outlineLevel="0" collapsed="false">
      <c r="A149" s="22" t="s">
        <v>547</v>
      </c>
      <c r="B149" s="4" t="s">
        <v>609</v>
      </c>
      <c r="C149" s="4" t="s">
        <v>610</v>
      </c>
      <c r="D149" s="4" t="n">
        <v>2</v>
      </c>
      <c r="E149" s="4" t="s">
        <v>618</v>
      </c>
      <c r="F149" s="4" t="s">
        <v>669</v>
      </c>
    </row>
    <row r="150" customFormat="false" ht="15" hidden="false" customHeight="false" outlineLevel="0" collapsed="false">
      <c r="A150" s="22" t="s">
        <v>545</v>
      </c>
      <c r="B150" s="4" t="s">
        <v>609</v>
      </c>
      <c r="C150" s="4" t="s">
        <v>610</v>
      </c>
      <c r="D150" s="4" t="n">
        <v>2</v>
      </c>
      <c r="E150" s="4" t="s">
        <v>623</v>
      </c>
      <c r="F150" s="4" t="s">
        <v>669</v>
      </c>
    </row>
    <row r="151" customFormat="false" ht="15" hidden="false" customHeight="false" outlineLevel="0" collapsed="false">
      <c r="A151" s="21" t="s">
        <v>549</v>
      </c>
      <c r="B151" s="4" t="s">
        <v>609</v>
      </c>
      <c r="C151" s="4" t="s">
        <v>610</v>
      </c>
      <c r="D151" s="4" t="n">
        <v>1</v>
      </c>
      <c r="E151" s="4" t="s">
        <v>628</v>
      </c>
      <c r="F151" s="4" t="s">
        <v>670</v>
      </c>
    </row>
    <row r="152" customFormat="false" ht="15" hidden="false" customHeight="false" outlineLevel="0" collapsed="false">
      <c r="A152" s="21" t="s">
        <v>550</v>
      </c>
      <c r="B152" s="4" t="s">
        <v>609</v>
      </c>
      <c r="C152" s="4" t="s">
        <v>610</v>
      </c>
      <c r="D152" s="4" t="n">
        <v>1</v>
      </c>
      <c r="E152" s="4" t="s">
        <v>624</v>
      </c>
      <c r="F152" s="4" t="s">
        <v>670</v>
      </c>
    </row>
    <row r="153" customFormat="false" ht="15" hidden="false" customHeight="false" outlineLevel="0" collapsed="false">
      <c r="A153" s="21" t="s">
        <v>548</v>
      </c>
      <c r="B153" s="4" t="s">
        <v>609</v>
      </c>
      <c r="C153" s="4" t="s">
        <v>610</v>
      </c>
      <c r="D153" s="4" t="n">
        <v>1</v>
      </c>
      <c r="E153" s="4" t="s">
        <v>615</v>
      </c>
      <c r="F153" s="4" t="s">
        <v>670</v>
      </c>
    </row>
    <row r="154" customFormat="false" ht="15" hidden="false" customHeight="false" outlineLevel="0" collapsed="false">
      <c r="A154" s="22" t="s">
        <v>553</v>
      </c>
      <c r="B154" s="4" t="s">
        <v>609</v>
      </c>
      <c r="C154" s="4" t="s">
        <v>610</v>
      </c>
      <c r="D154" s="4" t="n">
        <v>2</v>
      </c>
      <c r="E154" s="4" t="s">
        <v>614</v>
      </c>
      <c r="F154" s="4" t="s">
        <v>671</v>
      </c>
    </row>
    <row r="155" customFormat="false" ht="15" hidden="false" customHeight="false" outlineLevel="0" collapsed="false">
      <c r="A155" s="22" t="s">
        <v>551</v>
      </c>
      <c r="B155" s="4" t="s">
        <v>609</v>
      </c>
      <c r="C155" s="4" t="s">
        <v>610</v>
      </c>
      <c r="D155" s="4" t="n">
        <v>2</v>
      </c>
      <c r="E155" s="4" t="s">
        <v>620</v>
      </c>
      <c r="F155" s="4" t="s">
        <v>671</v>
      </c>
    </row>
    <row r="156" customFormat="false" ht="15" hidden="false" customHeight="false" outlineLevel="0" collapsed="false">
      <c r="A156" s="22" t="s">
        <v>552</v>
      </c>
      <c r="B156" s="4" t="s">
        <v>609</v>
      </c>
      <c r="C156" s="4" t="s">
        <v>610</v>
      </c>
      <c r="D156" s="4" t="n">
        <v>2</v>
      </c>
      <c r="E156" s="4" t="s">
        <v>628</v>
      </c>
      <c r="F156" s="4" t="s">
        <v>671</v>
      </c>
    </row>
    <row r="157" customFormat="false" ht="15" hidden="false" customHeight="false" outlineLevel="0" collapsed="false">
      <c r="A157" s="22" t="s">
        <v>556</v>
      </c>
      <c r="B157" s="4" t="s">
        <v>609</v>
      </c>
      <c r="C157" s="4" t="s">
        <v>610</v>
      </c>
      <c r="D157" s="4" t="n">
        <v>2</v>
      </c>
      <c r="E157" s="4" t="s">
        <v>618</v>
      </c>
      <c r="F157" s="4" t="s">
        <v>672</v>
      </c>
    </row>
    <row r="158" customFormat="false" ht="15" hidden="false" customHeight="false" outlineLevel="0" collapsed="false">
      <c r="A158" s="22" t="s">
        <v>554</v>
      </c>
      <c r="B158" s="4" t="s">
        <v>609</v>
      </c>
      <c r="C158" s="4" t="s">
        <v>610</v>
      </c>
      <c r="D158" s="4" t="n">
        <v>2</v>
      </c>
      <c r="E158" s="4" t="s">
        <v>623</v>
      </c>
      <c r="F158" s="4" t="s">
        <v>672</v>
      </c>
    </row>
    <row r="159" customFormat="false" ht="15" hidden="false" customHeight="false" outlineLevel="0" collapsed="false">
      <c r="A159" s="22" t="s">
        <v>555</v>
      </c>
      <c r="B159" s="4" t="s">
        <v>609</v>
      </c>
      <c r="C159" s="4" t="s">
        <v>610</v>
      </c>
      <c r="D159" s="4" t="n">
        <v>2</v>
      </c>
      <c r="E159" s="4" t="s">
        <v>611</v>
      </c>
      <c r="F159" s="4" t="s">
        <v>672</v>
      </c>
    </row>
    <row r="160" customFormat="false" ht="15" hidden="false" customHeight="false" outlineLevel="0" collapsed="false">
      <c r="A160" s="22" t="s">
        <v>558</v>
      </c>
      <c r="B160" s="4" t="s">
        <v>609</v>
      </c>
      <c r="C160" s="4" t="s">
        <v>610</v>
      </c>
      <c r="D160" s="4" t="n">
        <v>2</v>
      </c>
      <c r="E160" s="4" t="s">
        <v>628</v>
      </c>
      <c r="F160" s="4" t="s">
        <v>673</v>
      </c>
    </row>
    <row r="161" customFormat="false" ht="15" hidden="false" customHeight="false" outlineLevel="0" collapsed="false">
      <c r="A161" s="22" t="s">
        <v>559</v>
      </c>
      <c r="B161" s="4" t="s">
        <v>609</v>
      </c>
      <c r="C161" s="4" t="s">
        <v>610</v>
      </c>
      <c r="D161" s="4" t="n">
        <v>2</v>
      </c>
      <c r="E161" s="4" t="s">
        <v>624</v>
      </c>
      <c r="F161" s="4" t="s">
        <v>673</v>
      </c>
    </row>
    <row r="162" customFormat="false" ht="15" hidden="false" customHeight="false" outlineLevel="0" collapsed="false">
      <c r="A162" s="22" t="s">
        <v>557</v>
      </c>
      <c r="B162" s="4" t="s">
        <v>609</v>
      </c>
      <c r="C162" s="4" t="s">
        <v>610</v>
      </c>
      <c r="D162" s="4" t="n">
        <v>2</v>
      </c>
      <c r="E162" s="4" t="s">
        <v>615</v>
      </c>
      <c r="F162" s="4" t="s">
        <v>673</v>
      </c>
    </row>
    <row r="163" customFormat="false" ht="15" hidden="false" customHeight="false" outlineLevel="0" collapsed="false">
      <c r="A163" s="23" t="s">
        <v>561</v>
      </c>
      <c r="B163" s="4" t="s">
        <v>609</v>
      </c>
      <c r="C163" s="4" t="s">
        <v>610</v>
      </c>
      <c r="D163" s="4" t="n">
        <v>3</v>
      </c>
      <c r="E163" s="4" t="s">
        <v>628</v>
      </c>
      <c r="F163" s="4" t="s">
        <v>674</v>
      </c>
    </row>
    <row r="164" customFormat="false" ht="15" hidden="false" customHeight="false" outlineLevel="0" collapsed="false">
      <c r="A164" s="23" t="s">
        <v>562</v>
      </c>
      <c r="B164" s="4" t="s">
        <v>609</v>
      </c>
      <c r="C164" s="4" t="s">
        <v>610</v>
      </c>
      <c r="D164" s="4" t="n">
        <v>3</v>
      </c>
      <c r="E164" s="4" t="s">
        <v>624</v>
      </c>
      <c r="F164" s="4" t="s">
        <v>674</v>
      </c>
    </row>
    <row r="165" customFormat="false" ht="15" hidden="false" customHeight="false" outlineLevel="0" collapsed="false">
      <c r="A165" s="23" t="s">
        <v>560</v>
      </c>
      <c r="B165" s="4" t="s">
        <v>609</v>
      </c>
      <c r="C165" s="4" t="s">
        <v>610</v>
      </c>
      <c r="D165" s="4" t="n">
        <v>3</v>
      </c>
      <c r="E165" s="4" t="s">
        <v>615</v>
      </c>
      <c r="F165" s="4" t="s">
        <v>674</v>
      </c>
    </row>
    <row r="166" customFormat="false" ht="15" hidden="false" customHeight="false" outlineLevel="0" collapsed="false">
      <c r="A166" s="23" t="s">
        <v>565</v>
      </c>
      <c r="B166" s="4" t="s">
        <v>609</v>
      </c>
      <c r="C166" s="4" t="s">
        <v>610</v>
      </c>
      <c r="D166" s="4" t="n">
        <v>3</v>
      </c>
      <c r="E166" s="4" t="s">
        <v>614</v>
      </c>
      <c r="F166" s="4" t="s">
        <v>675</v>
      </c>
    </row>
    <row r="167" customFormat="false" ht="15" hidden="false" customHeight="false" outlineLevel="0" collapsed="false">
      <c r="A167" s="23" t="s">
        <v>563</v>
      </c>
      <c r="B167" s="4" t="s">
        <v>609</v>
      </c>
      <c r="C167" s="4" t="s">
        <v>610</v>
      </c>
      <c r="D167" s="4" t="n">
        <v>3</v>
      </c>
      <c r="E167" s="4" t="s">
        <v>620</v>
      </c>
      <c r="F167" s="4" t="s">
        <v>675</v>
      </c>
    </row>
    <row r="168" customFormat="false" ht="15" hidden="false" customHeight="false" outlineLevel="0" collapsed="false">
      <c r="A168" s="23" t="s">
        <v>564</v>
      </c>
      <c r="B168" s="4" t="s">
        <v>609</v>
      </c>
      <c r="C168" s="4" t="s">
        <v>610</v>
      </c>
      <c r="D168" s="4" t="n">
        <v>3</v>
      </c>
      <c r="E168" s="4" t="s">
        <v>628</v>
      </c>
      <c r="F168" s="4" t="s">
        <v>675</v>
      </c>
    </row>
    <row r="169" customFormat="false" ht="15" hidden="false" customHeight="false" outlineLevel="0" collapsed="false">
      <c r="A169" s="24" t="s">
        <v>566</v>
      </c>
      <c r="B169" s="4" t="s">
        <v>609</v>
      </c>
      <c r="C169" s="4" t="s">
        <v>610</v>
      </c>
      <c r="D169" s="4" t="n">
        <v>4</v>
      </c>
      <c r="E169" s="4" t="s">
        <v>620</v>
      </c>
      <c r="F169" s="4" t="s">
        <v>676</v>
      </c>
    </row>
    <row r="170" customFormat="false" ht="15" hidden="false" customHeight="false" outlineLevel="0" collapsed="false">
      <c r="A170" s="24" t="s">
        <v>567</v>
      </c>
      <c r="B170" s="4" t="s">
        <v>609</v>
      </c>
      <c r="C170" s="4" t="s">
        <v>610</v>
      </c>
      <c r="D170" s="4" t="n">
        <v>4</v>
      </c>
      <c r="E170" s="4" t="s">
        <v>628</v>
      </c>
      <c r="F170" s="4" t="s">
        <v>676</v>
      </c>
    </row>
    <row r="171" customFormat="false" ht="15" hidden="false" customHeight="false" outlineLevel="0" collapsed="false">
      <c r="A171" s="24" t="s">
        <v>568</v>
      </c>
      <c r="B171" s="4" t="s">
        <v>609</v>
      </c>
      <c r="C171" s="4" t="s">
        <v>610</v>
      </c>
      <c r="D171" s="4" t="n">
        <v>4</v>
      </c>
      <c r="E171" s="4" t="s">
        <v>624</v>
      </c>
      <c r="F171" s="4" t="s">
        <v>676</v>
      </c>
    </row>
    <row r="172" customFormat="false" ht="15" hidden="false" customHeight="false" outlineLevel="0" collapsed="false">
      <c r="A172" s="25" t="s">
        <v>571</v>
      </c>
      <c r="B172" s="4" t="s">
        <v>609</v>
      </c>
      <c r="C172" s="4" t="s">
        <v>610</v>
      </c>
      <c r="D172" s="4" t="n">
        <v>5</v>
      </c>
      <c r="E172" s="4" t="s">
        <v>624</v>
      </c>
      <c r="F172" s="4" t="s">
        <v>677</v>
      </c>
    </row>
    <row r="173" customFormat="false" ht="15" hidden="false" customHeight="false" outlineLevel="0" collapsed="false">
      <c r="A173" s="25" t="s">
        <v>569</v>
      </c>
      <c r="B173" s="4" t="s">
        <v>609</v>
      </c>
      <c r="C173" s="4" t="s">
        <v>610</v>
      </c>
      <c r="D173" s="4" t="n">
        <v>5</v>
      </c>
      <c r="E173" s="4" t="s">
        <v>615</v>
      </c>
      <c r="F173" s="4" t="s">
        <v>677</v>
      </c>
    </row>
    <row r="174" customFormat="false" ht="15" hidden="false" customHeight="false" outlineLevel="0" collapsed="false">
      <c r="A174" s="25" t="s">
        <v>570</v>
      </c>
      <c r="B174" s="4" t="s">
        <v>609</v>
      </c>
      <c r="C174" s="4" t="s">
        <v>610</v>
      </c>
      <c r="D174" s="4" t="n">
        <v>5</v>
      </c>
      <c r="E174" s="4" t="s">
        <v>617</v>
      </c>
      <c r="F174" s="4" t="s">
        <v>677</v>
      </c>
    </row>
    <row r="175" customFormat="false" ht="15" hidden="false" customHeight="false" outlineLevel="0" collapsed="false">
      <c r="A175" s="25" t="s">
        <v>574</v>
      </c>
      <c r="B175" s="4" t="s">
        <v>609</v>
      </c>
      <c r="C175" s="4" t="s">
        <v>610</v>
      </c>
      <c r="D175" s="4" t="n">
        <v>5</v>
      </c>
      <c r="E175" s="4" t="s">
        <v>614</v>
      </c>
      <c r="F175" s="4" t="s">
        <v>678</v>
      </c>
    </row>
    <row r="176" customFormat="false" ht="15" hidden="false" customHeight="false" outlineLevel="0" collapsed="false">
      <c r="A176" s="25" t="s">
        <v>572</v>
      </c>
      <c r="B176" s="4" t="s">
        <v>609</v>
      </c>
      <c r="C176" s="4" t="s">
        <v>610</v>
      </c>
      <c r="D176" s="4" t="n">
        <v>5</v>
      </c>
      <c r="E176" s="4" t="s">
        <v>620</v>
      </c>
      <c r="F176" s="4" t="s">
        <v>678</v>
      </c>
    </row>
    <row r="177" customFormat="false" ht="15" hidden="false" customHeight="false" outlineLevel="0" collapsed="false">
      <c r="A177" s="25" t="s">
        <v>573</v>
      </c>
      <c r="B177" s="4" t="s">
        <v>609</v>
      </c>
      <c r="C177" s="4" t="s">
        <v>610</v>
      </c>
      <c r="D177" s="4" t="n">
        <v>5</v>
      </c>
      <c r="E177" s="4" t="s">
        <v>628</v>
      </c>
      <c r="F177" s="4" t="s">
        <v>678</v>
      </c>
    </row>
    <row r="178" customFormat="false" ht="15" hidden="false" customHeight="false" outlineLevel="0" collapsed="false">
      <c r="A178" s="26" t="s">
        <v>576</v>
      </c>
      <c r="B178" s="4" t="s">
        <v>609</v>
      </c>
      <c r="C178" s="4" t="s">
        <v>610</v>
      </c>
      <c r="D178" s="4" t="n">
        <v>6</v>
      </c>
      <c r="E178" s="4" t="s">
        <v>628</v>
      </c>
      <c r="F178" s="4" t="s">
        <v>679</v>
      </c>
    </row>
    <row r="179" customFormat="false" ht="15" hidden="false" customHeight="false" outlineLevel="0" collapsed="false">
      <c r="A179" s="26" t="s">
        <v>577</v>
      </c>
      <c r="B179" s="4" t="s">
        <v>609</v>
      </c>
      <c r="C179" s="4" t="s">
        <v>610</v>
      </c>
      <c r="D179" s="4" t="n">
        <v>6</v>
      </c>
      <c r="E179" s="4" t="s">
        <v>624</v>
      </c>
      <c r="F179" s="4" t="s">
        <v>679</v>
      </c>
    </row>
    <row r="180" customFormat="false" ht="15" hidden="false" customHeight="false" outlineLevel="0" collapsed="false">
      <c r="A180" s="26" t="s">
        <v>575</v>
      </c>
      <c r="B180" s="4" t="s">
        <v>609</v>
      </c>
      <c r="C180" s="4" t="s">
        <v>610</v>
      </c>
      <c r="D180" s="4" t="n">
        <v>6</v>
      </c>
      <c r="E180" s="4" t="s">
        <v>615</v>
      </c>
      <c r="F180" s="4" t="s">
        <v>679</v>
      </c>
    </row>
    <row r="181" customFormat="false" ht="15" hidden="false" customHeight="false" outlineLevel="0" collapsed="false">
      <c r="A181" s="26" t="s">
        <v>580</v>
      </c>
      <c r="B181" s="4" t="s">
        <v>609</v>
      </c>
      <c r="C181" s="4" t="s">
        <v>610</v>
      </c>
      <c r="D181" s="4" t="n">
        <v>6</v>
      </c>
      <c r="E181" s="4" t="s">
        <v>614</v>
      </c>
      <c r="F181" s="4" t="s">
        <v>680</v>
      </c>
    </row>
    <row r="182" customFormat="false" ht="15" hidden="false" customHeight="false" outlineLevel="0" collapsed="false">
      <c r="A182" s="26" t="s">
        <v>578</v>
      </c>
      <c r="B182" s="4" t="s">
        <v>609</v>
      </c>
      <c r="C182" s="4" t="s">
        <v>610</v>
      </c>
      <c r="D182" s="4" t="n">
        <v>6</v>
      </c>
      <c r="E182" s="4" t="s">
        <v>620</v>
      </c>
      <c r="F182" s="4" t="s">
        <v>680</v>
      </c>
    </row>
    <row r="183" customFormat="false" ht="15" hidden="false" customHeight="false" outlineLevel="0" collapsed="false">
      <c r="A183" s="26" t="s">
        <v>579</v>
      </c>
      <c r="B183" s="4" t="s">
        <v>609</v>
      </c>
      <c r="C183" s="4" t="s">
        <v>610</v>
      </c>
      <c r="D183" s="4" t="n">
        <v>6</v>
      </c>
      <c r="E183" s="4" t="s">
        <v>628</v>
      </c>
      <c r="F183" s="4" t="s">
        <v>680</v>
      </c>
    </row>
    <row r="184" customFormat="false" ht="15" hidden="false" customHeight="false" outlineLevel="0" collapsed="false">
      <c r="A184" s="21" t="s">
        <v>590</v>
      </c>
      <c r="B184" s="4" t="s">
        <v>681</v>
      </c>
      <c r="C184" s="4" t="s">
        <v>682</v>
      </c>
      <c r="D184" s="4" t="n">
        <v>1</v>
      </c>
      <c r="E184" s="4" t="s">
        <v>623</v>
      </c>
      <c r="F184" s="4" t="s">
        <v>683</v>
      </c>
    </row>
    <row r="185" customFormat="false" ht="15" hidden="false" customHeight="false" outlineLevel="0" collapsed="false">
      <c r="A185" s="21" t="s">
        <v>597</v>
      </c>
      <c r="B185" s="4" t="s">
        <v>681</v>
      </c>
      <c r="C185" s="4" t="s">
        <v>682</v>
      </c>
      <c r="D185" s="4" t="n">
        <v>1</v>
      </c>
      <c r="E185" s="4" t="s">
        <v>611</v>
      </c>
      <c r="F185" s="4" t="s">
        <v>684</v>
      </c>
    </row>
    <row r="186" customFormat="false" ht="15" hidden="false" customHeight="false" outlineLevel="0" collapsed="false">
      <c r="A186" s="21" t="s">
        <v>594</v>
      </c>
      <c r="B186" s="4" t="s">
        <v>681</v>
      </c>
      <c r="C186" s="4" t="s">
        <v>682</v>
      </c>
      <c r="D186" s="4" t="n">
        <v>1</v>
      </c>
      <c r="E186" s="4" t="s">
        <v>613</v>
      </c>
      <c r="F186" s="4" t="s">
        <v>685</v>
      </c>
    </row>
    <row r="187" customFormat="false" ht="15" hidden="false" customHeight="false" outlineLevel="0" collapsed="false">
      <c r="A187" s="21" t="s">
        <v>602</v>
      </c>
      <c r="B187" s="4" t="s">
        <v>681</v>
      </c>
      <c r="C187" s="4" t="s">
        <v>682</v>
      </c>
      <c r="D187" s="4" t="n">
        <v>1</v>
      </c>
      <c r="E187" s="4" t="s">
        <v>614</v>
      </c>
      <c r="F187" s="4" t="s">
        <v>686</v>
      </c>
    </row>
    <row r="188" customFormat="false" ht="15" hidden="false" customHeight="false" outlineLevel="0" collapsed="false">
      <c r="A188" s="22" t="s">
        <v>583</v>
      </c>
      <c r="B188" s="4" t="s">
        <v>681</v>
      </c>
      <c r="C188" s="4" t="s">
        <v>682</v>
      </c>
      <c r="D188" s="4" t="n">
        <v>2</v>
      </c>
      <c r="E188" s="4" t="s">
        <v>620</v>
      </c>
      <c r="F188" s="4" t="s">
        <v>687</v>
      </c>
    </row>
    <row r="189" customFormat="false" ht="15" hidden="false" customHeight="false" outlineLevel="0" collapsed="false">
      <c r="A189" s="22" t="s">
        <v>585</v>
      </c>
      <c r="B189" s="4" t="s">
        <v>681</v>
      </c>
      <c r="C189" s="4" t="s">
        <v>682</v>
      </c>
      <c r="D189" s="4" t="n">
        <v>2</v>
      </c>
      <c r="E189" s="4" t="s">
        <v>628</v>
      </c>
      <c r="F189" s="4" t="s">
        <v>688</v>
      </c>
    </row>
    <row r="190" customFormat="false" ht="15" hidden="false" customHeight="false" outlineLevel="0" collapsed="false">
      <c r="A190" s="22" t="s">
        <v>584</v>
      </c>
      <c r="B190" s="4" t="s">
        <v>681</v>
      </c>
      <c r="C190" s="4" t="s">
        <v>682</v>
      </c>
      <c r="D190" s="4" t="n">
        <v>2</v>
      </c>
      <c r="E190" s="4" t="s">
        <v>624</v>
      </c>
      <c r="F190" s="4" t="s">
        <v>689</v>
      </c>
    </row>
    <row r="191" customFormat="false" ht="15" hidden="false" customHeight="false" outlineLevel="0" collapsed="false">
      <c r="A191" s="22" t="s">
        <v>598</v>
      </c>
      <c r="B191" s="4" t="s">
        <v>681</v>
      </c>
      <c r="C191" s="4" t="s">
        <v>682</v>
      </c>
      <c r="D191" s="4" t="n">
        <v>2</v>
      </c>
      <c r="E191" s="4" t="s">
        <v>615</v>
      </c>
      <c r="F191" s="4" t="s">
        <v>690</v>
      </c>
    </row>
    <row r="192" customFormat="false" ht="15" hidden="false" customHeight="false" outlineLevel="0" collapsed="false">
      <c r="A192" s="23" t="s">
        <v>591</v>
      </c>
      <c r="B192" s="4" t="s">
        <v>681</v>
      </c>
      <c r="C192" s="4" t="s">
        <v>682</v>
      </c>
      <c r="D192" s="4" t="n">
        <v>3</v>
      </c>
      <c r="E192" s="4" t="s">
        <v>617</v>
      </c>
      <c r="F192" s="4" t="s">
        <v>691</v>
      </c>
    </row>
    <row r="193" customFormat="false" ht="15" hidden="false" customHeight="false" outlineLevel="0" collapsed="false">
      <c r="A193" s="23" t="s">
        <v>599</v>
      </c>
      <c r="B193" s="4" t="s">
        <v>681</v>
      </c>
      <c r="C193" s="4" t="s">
        <v>682</v>
      </c>
      <c r="D193" s="4" t="n">
        <v>3</v>
      </c>
      <c r="E193" s="4" t="s">
        <v>618</v>
      </c>
      <c r="F193" s="4" t="s">
        <v>692</v>
      </c>
    </row>
    <row r="194" customFormat="false" ht="15" hidden="false" customHeight="false" outlineLevel="0" collapsed="false">
      <c r="A194" s="23" t="s">
        <v>589</v>
      </c>
      <c r="B194" s="4" t="s">
        <v>681</v>
      </c>
      <c r="C194" s="4" t="s">
        <v>682</v>
      </c>
      <c r="D194" s="4" t="n">
        <v>3</v>
      </c>
      <c r="E194" s="4" t="s">
        <v>623</v>
      </c>
      <c r="F194" s="4" t="s">
        <v>693</v>
      </c>
    </row>
    <row r="195" customFormat="false" ht="15" hidden="false" customHeight="false" outlineLevel="0" collapsed="false">
      <c r="A195" s="24" t="s">
        <v>596</v>
      </c>
      <c r="B195" s="4" t="s">
        <v>681</v>
      </c>
      <c r="C195" s="4" t="s">
        <v>682</v>
      </c>
      <c r="D195" s="4" t="n">
        <v>4</v>
      </c>
      <c r="E195" s="4" t="s">
        <v>611</v>
      </c>
      <c r="F195" s="4" t="s">
        <v>694</v>
      </c>
    </row>
    <row r="196" customFormat="false" ht="15" hidden="false" customHeight="false" outlineLevel="0" collapsed="false">
      <c r="A196" s="24" t="s">
        <v>600</v>
      </c>
      <c r="B196" s="4" t="s">
        <v>681</v>
      </c>
      <c r="C196" s="4" t="s">
        <v>682</v>
      </c>
      <c r="D196" s="4" t="n">
        <v>4</v>
      </c>
      <c r="E196" s="4" t="s">
        <v>613</v>
      </c>
      <c r="F196" s="4" t="s">
        <v>695</v>
      </c>
    </row>
    <row r="197" customFormat="false" ht="15" hidden="false" customHeight="false" outlineLevel="0" collapsed="false">
      <c r="A197" s="24" t="s">
        <v>601</v>
      </c>
      <c r="B197" s="4" t="s">
        <v>681</v>
      </c>
      <c r="C197" s="4" t="s">
        <v>682</v>
      </c>
      <c r="D197" s="4" t="n">
        <v>4</v>
      </c>
      <c r="E197" s="4" t="s">
        <v>614</v>
      </c>
      <c r="F197" s="4" t="s">
        <v>696</v>
      </c>
    </row>
    <row r="198" customFormat="false" ht="15" hidden="false" customHeight="false" outlineLevel="0" collapsed="false">
      <c r="A198" s="25" t="s">
        <v>592</v>
      </c>
      <c r="B198" s="4" t="s">
        <v>681</v>
      </c>
      <c r="C198" s="4" t="s">
        <v>682</v>
      </c>
      <c r="D198" s="4" t="n">
        <v>5</v>
      </c>
      <c r="E198" s="4" t="s">
        <v>620</v>
      </c>
      <c r="F198" s="4" t="s">
        <v>697</v>
      </c>
    </row>
    <row r="199" customFormat="false" ht="15" hidden="false" customHeight="false" outlineLevel="0" collapsed="false">
      <c r="A199" s="25" t="s">
        <v>593</v>
      </c>
      <c r="B199" s="4" t="s">
        <v>681</v>
      </c>
      <c r="C199" s="4" t="s">
        <v>682</v>
      </c>
      <c r="D199" s="4" t="n">
        <v>5</v>
      </c>
      <c r="E199" s="4" t="s">
        <v>628</v>
      </c>
      <c r="F199" s="4" t="s">
        <v>698</v>
      </c>
    </row>
    <row r="200" customFormat="false" ht="15" hidden="false" customHeight="false" outlineLevel="0" collapsed="false">
      <c r="A200" s="25" t="s">
        <v>595</v>
      </c>
      <c r="B200" s="4" t="s">
        <v>681</v>
      </c>
      <c r="C200" s="4" t="s">
        <v>682</v>
      </c>
      <c r="D200" s="4" t="n">
        <v>5</v>
      </c>
      <c r="E200" s="4" t="s">
        <v>624</v>
      </c>
      <c r="F200" s="4" t="s">
        <v>699</v>
      </c>
    </row>
    <row r="201" customFormat="false" ht="15" hidden="false" customHeight="false" outlineLevel="0" collapsed="false">
      <c r="A201" s="26" t="s">
        <v>586</v>
      </c>
      <c r="B201" s="4" t="s">
        <v>681</v>
      </c>
      <c r="C201" s="4" t="s">
        <v>682</v>
      </c>
      <c r="D201" s="4" t="n">
        <v>6</v>
      </c>
      <c r="E201" s="4" t="s">
        <v>615</v>
      </c>
      <c r="F201" s="4" t="s">
        <v>700</v>
      </c>
    </row>
    <row r="202" customFormat="false" ht="15" hidden="false" customHeight="false" outlineLevel="0" collapsed="false">
      <c r="A202" s="26" t="s">
        <v>587</v>
      </c>
      <c r="B202" s="4" t="s">
        <v>681</v>
      </c>
      <c r="C202" s="4" t="s">
        <v>682</v>
      </c>
      <c r="D202" s="4" t="n">
        <v>6</v>
      </c>
      <c r="E202" s="4" t="s">
        <v>617</v>
      </c>
      <c r="F202" s="4" t="s">
        <v>701</v>
      </c>
    </row>
    <row r="203" customFormat="false" ht="15" hidden="false" customHeight="false" outlineLevel="0" collapsed="false">
      <c r="A203" s="26" t="s">
        <v>588</v>
      </c>
      <c r="B203" s="4" t="s">
        <v>681</v>
      </c>
      <c r="C203" s="4" t="s">
        <v>682</v>
      </c>
      <c r="D203" s="4" t="n">
        <v>6</v>
      </c>
      <c r="E203" s="4" t="s">
        <v>618</v>
      </c>
      <c r="F203" s="4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30"/>
  </cols>
  <sheetData>
    <row r="1" customFormat="false" ht="17.35" hidden="false" customHeight="false" outlineLevel="0" collapsed="false">
      <c r="A1" s="1" t="s">
        <v>703</v>
      </c>
    </row>
    <row r="3" customFormat="false" ht="15" hidden="false" customHeight="false" outlineLevel="0" collapsed="false">
      <c r="A3" s="6" t="s">
        <v>704</v>
      </c>
    </row>
    <row r="4" customFormat="false" ht="15" hidden="false" customHeight="false" outlineLevel="0" collapsed="false">
      <c r="A4" s="3" t="s">
        <v>46</v>
      </c>
      <c r="B4" s="3" t="s">
        <v>705</v>
      </c>
      <c r="C4" s="3" t="s">
        <v>706</v>
      </c>
      <c r="D4" s="3" t="s">
        <v>707</v>
      </c>
    </row>
    <row r="5" customFormat="false" ht="15" hidden="false" customHeight="false" outlineLevel="0" collapsed="false">
      <c r="A5" s="4" t="s">
        <v>708</v>
      </c>
      <c r="B5" s="4" t="s">
        <v>709</v>
      </c>
      <c r="C5" s="4" t="s">
        <v>710</v>
      </c>
      <c r="D5" s="4" t="s">
        <v>711</v>
      </c>
    </row>
    <row r="6" customFormat="false" ht="15" hidden="false" customHeight="false" outlineLevel="0" collapsed="false">
      <c r="A6" s="4" t="s">
        <v>712</v>
      </c>
      <c r="B6" s="4" t="s">
        <v>713</v>
      </c>
      <c r="C6" s="4" t="s">
        <v>714</v>
      </c>
      <c r="D6" s="4" t="s">
        <v>715</v>
      </c>
    </row>
    <row r="7" customFormat="false" ht="15" hidden="false" customHeight="false" outlineLevel="0" collapsed="false">
      <c r="A7" s="4" t="s">
        <v>716</v>
      </c>
      <c r="B7" s="4" t="s">
        <v>717</v>
      </c>
      <c r="C7" s="4" t="s">
        <v>718</v>
      </c>
      <c r="D7" s="4" t="s">
        <v>719</v>
      </c>
    </row>
    <row r="8" customFormat="false" ht="15" hidden="false" customHeight="false" outlineLevel="0" collapsed="false">
      <c r="A8" s="4" t="s">
        <v>720</v>
      </c>
      <c r="B8" s="4" t="s">
        <v>721</v>
      </c>
      <c r="C8" s="4" t="s">
        <v>722</v>
      </c>
      <c r="D8" s="4" t="s">
        <v>723</v>
      </c>
    </row>
    <row r="9" customFormat="false" ht="15" hidden="false" customHeight="false" outlineLevel="0" collapsed="false">
      <c r="A9" s="4" t="s">
        <v>724</v>
      </c>
      <c r="B9" s="4" t="s">
        <v>725</v>
      </c>
      <c r="C9" s="4" t="s">
        <v>726</v>
      </c>
      <c r="D9" s="4" t="s">
        <v>727</v>
      </c>
    </row>
    <row r="10" customFormat="false" ht="15" hidden="false" customHeight="false" outlineLevel="0" collapsed="false">
      <c r="A10" s="4" t="s">
        <v>728</v>
      </c>
      <c r="B10" s="4" t="s">
        <v>729</v>
      </c>
      <c r="C10" s="4" t="s">
        <v>730</v>
      </c>
      <c r="D10" s="4" t="s">
        <v>731</v>
      </c>
    </row>
    <row r="11" customFormat="false" ht="15" hidden="false" customHeight="false" outlineLevel="0" collapsed="false">
      <c r="A11" s="4" t="s">
        <v>732</v>
      </c>
      <c r="B11" s="4" t="s">
        <v>733</v>
      </c>
      <c r="C11" s="4" t="s">
        <v>734</v>
      </c>
      <c r="D11" s="4" t="s">
        <v>735</v>
      </c>
    </row>
    <row r="12" customFormat="false" ht="15" hidden="false" customHeight="false" outlineLevel="0" collapsed="false">
      <c r="A12" s="4" t="s">
        <v>736</v>
      </c>
      <c r="B12" s="4" t="s">
        <v>737</v>
      </c>
      <c r="C12" s="4" t="s">
        <v>738</v>
      </c>
      <c r="D12" s="4" t="s">
        <v>739</v>
      </c>
    </row>
    <row r="13" customFormat="false" ht="15" hidden="false" customHeight="false" outlineLevel="0" collapsed="false">
      <c r="A13" s="4" t="s">
        <v>740</v>
      </c>
      <c r="B13" s="4" t="s">
        <v>741</v>
      </c>
      <c r="C13" s="4" t="s">
        <v>742</v>
      </c>
      <c r="D13" s="4" t="s">
        <v>743</v>
      </c>
    </row>
    <row r="14" customFormat="false" ht="15" hidden="false" customHeight="false" outlineLevel="0" collapsed="false">
      <c r="A14" s="4" t="s">
        <v>744</v>
      </c>
      <c r="B14" s="4" t="s">
        <v>745</v>
      </c>
      <c r="C14" s="4" t="s">
        <v>746</v>
      </c>
      <c r="D14" s="4" t="s">
        <v>746</v>
      </c>
    </row>
    <row r="15" customFormat="false" ht="15" hidden="false" customHeight="false" outlineLevel="0" collapsed="false">
      <c r="A15" s="4" t="s">
        <v>747</v>
      </c>
      <c r="B15" s="4" t="s">
        <v>748</v>
      </c>
      <c r="C15" s="4" t="s">
        <v>749</v>
      </c>
      <c r="D15" s="4" t="s">
        <v>750</v>
      </c>
    </row>
    <row r="16" customFormat="false" ht="15" hidden="false" customHeight="false" outlineLevel="0" collapsed="false">
      <c r="A16" s="4" t="s">
        <v>751</v>
      </c>
      <c r="B16" s="4" t="s">
        <v>752</v>
      </c>
      <c r="C16" s="4" t="s">
        <v>753</v>
      </c>
      <c r="D16" s="4" t="s">
        <v>754</v>
      </c>
    </row>
    <row r="17" customFormat="false" ht="15" hidden="false" customHeight="false" outlineLevel="0" collapsed="false">
      <c r="A17" s="2" t="s">
        <v>755</v>
      </c>
    </row>
    <row r="19" customFormat="false" ht="15" hidden="false" customHeight="false" outlineLevel="0" collapsed="false">
      <c r="A19" s="6" t="s">
        <v>756</v>
      </c>
    </row>
    <row r="20" customFormat="false" ht="15" hidden="false" customHeight="false" outlineLevel="0" collapsed="false">
      <c r="A20" s="3" t="s">
        <v>757</v>
      </c>
      <c r="B20" s="3" t="s">
        <v>758</v>
      </c>
    </row>
    <row r="21" customFormat="false" ht="15" hidden="false" customHeight="false" outlineLevel="0" collapsed="false">
      <c r="A21" s="4" t="s">
        <v>759</v>
      </c>
      <c r="B21" s="4" t="s">
        <v>760</v>
      </c>
    </row>
    <row r="22" customFormat="false" ht="15" hidden="false" customHeight="false" outlineLevel="0" collapsed="false">
      <c r="A22" s="4" t="s">
        <v>761</v>
      </c>
      <c r="B22" s="4" t="s">
        <v>762</v>
      </c>
    </row>
    <row r="23" customFormat="false" ht="15" hidden="false" customHeight="false" outlineLevel="0" collapsed="false">
      <c r="A23" s="4" t="s">
        <v>763</v>
      </c>
      <c r="B23" s="4" t="s">
        <v>764</v>
      </c>
    </row>
    <row r="24" customFormat="false" ht="15" hidden="false" customHeight="false" outlineLevel="0" collapsed="false">
      <c r="A24" s="4" t="s">
        <v>765</v>
      </c>
      <c r="B24" s="4" t="s">
        <v>766</v>
      </c>
    </row>
    <row r="25" customFormat="false" ht="15" hidden="false" customHeight="false" outlineLevel="0" collapsed="false">
      <c r="A25" s="4" t="s">
        <v>767</v>
      </c>
      <c r="B25" s="4" t="s">
        <v>768</v>
      </c>
    </row>
    <row r="26" customFormat="false" ht="15" hidden="false" customHeight="false" outlineLevel="0" collapsed="false">
      <c r="A26" s="4" t="s">
        <v>769</v>
      </c>
      <c r="B26" s="4" t="s">
        <v>770</v>
      </c>
    </row>
    <row r="27" customFormat="false" ht="15" hidden="false" customHeight="false" outlineLevel="0" collapsed="false">
      <c r="A27" s="4" t="s">
        <v>771</v>
      </c>
      <c r="B27" s="4" t="s">
        <v>772</v>
      </c>
    </row>
    <row r="28" customFormat="false" ht="15" hidden="false" customHeight="false" outlineLevel="0" collapsed="false">
      <c r="A28" s="4"/>
      <c r="B28" s="4" t="s">
        <v>773</v>
      </c>
    </row>
    <row r="29" customFormat="false" ht="15" hidden="false" customHeight="false" outlineLevel="0" collapsed="false">
      <c r="A29" s="4"/>
      <c r="B29" s="4" t="s">
        <v>774</v>
      </c>
    </row>
    <row r="31" customFormat="false" ht="15" hidden="false" customHeight="false" outlineLevel="0" collapsed="false">
      <c r="A31" s="6" t="s">
        <v>775</v>
      </c>
    </row>
    <row r="32" customFormat="false" ht="15" hidden="false" customHeight="false" outlineLevel="0" collapsed="false">
      <c r="A32" s="3" t="s">
        <v>105</v>
      </c>
      <c r="B32" s="3" t="s">
        <v>605</v>
      </c>
      <c r="C32" s="3" t="s">
        <v>105</v>
      </c>
      <c r="D32" s="3" t="s">
        <v>605</v>
      </c>
    </row>
    <row r="33" customFormat="false" ht="15" hidden="false" customHeight="false" outlineLevel="0" collapsed="false">
      <c r="A33" s="4" t="s">
        <v>119</v>
      </c>
      <c r="B33" s="9" t="s">
        <v>776</v>
      </c>
      <c r="C33" s="4" t="s">
        <v>165</v>
      </c>
      <c r="D33" s="9" t="s">
        <v>776</v>
      </c>
    </row>
    <row r="34" customFormat="false" ht="15" hidden="false" customHeight="false" outlineLevel="0" collapsed="false">
      <c r="A34" s="4" t="s">
        <v>126</v>
      </c>
      <c r="B34" s="9" t="s">
        <v>776</v>
      </c>
      <c r="C34" s="4" t="s">
        <v>167</v>
      </c>
      <c r="D34" s="9" t="s">
        <v>776</v>
      </c>
    </row>
    <row r="35" customFormat="false" ht="15" hidden="false" customHeight="false" outlineLevel="0" collapsed="false">
      <c r="A35" s="4" t="s">
        <v>129</v>
      </c>
      <c r="B35" s="9" t="s">
        <v>776</v>
      </c>
      <c r="C35" s="4" t="s">
        <v>171</v>
      </c>
      <c r="D35" s="29" t="s">
        <v>777</v>
      </c>
    </row>
    <row r="36" customFormat="false" ht="15" hidden="false" customHeight="false" outlineLevel="0" collapsed="false">
      <c r="A36" s="4" t="s">
        <v>135</v>
      </c>
      <c r="B36" s="29" t="s">
        <v>777</v>
      </c>
      <c r="C36" s="4" t="s">
        <v>173</v>
      </c>
      <c r="D36" s="9" t="s">
        <v>776</v>
      </c>
    </row>
    <row r="37" customFormat="false" ht="15" hidden="false" customHeight="false" outlineLevel="0" collapsed="false">
      <c r="A37" s="4" t="s">
        <v>136</v>
      </c>
      <c r="B37" s="9" t="s">
        <v>776</v>
      </c>
      <c r="C37" s="4" t="s">
        <v>182</v>
      </c>
      <c r="D37" s="9" t="s">
        <v>776</v>
      </c>
    </row>
    <row r="38" customFormat="false" ht="15" hidden="false" customHeight="false" outlineLevel="0" collapsed="false">
      <c r="A38" s="4" t="s">
        <v>140</v>
      </c>
      <c r="B38" s="9" t="s">
        <v>776</v>
      </c>
      <c r="C38" s="4" t="s">
        <v>183</v>
      </c>
      <c r="D38" s="9" t="s">
        <v>776</v>
      </c>
    </row>
    <row r="39" customFormat="false" ht="15" hidden="false" customHeight="false" outlineLevel="0" collapsed="false">
      <c r="A39" s="4" t="s">
        <v>143</v>
      </c>
      <c r="B39" s="9" t="s">
        <v>776</v>
      </c>
      <c r="C39" s="4" t="s">
        <v>186</v>
      </c>
      <c r="D39" s="29" t="s">
        <v>777</v>
      </c>
    </row>
    <row r="40" customFormat="false" ht="15" hidden="false" customHeight="false" outlineLevel="0" collapsed="false">
      <c r="A40" s="4" t="s">
        <v>152</v>
      </c>
      <c r="B40" s="29" t="s">
        <v>777</v>
      </c>
      <c r="C40" s="4" t="s">
        <v>189</v>
      </c>
      <c r="D40" s="9" t="s">
        <v>776</v>
      </c>
    </row>
    <row r="41" customFormat="false" ht="15" hidden="false" customHeight="false" outlineLevel="0" collapsed="false">
      <c r="A41" s="4" t="s">
        <v>153</v>
      </c>
      <c r="B41" s="9" t="s">
        <v>776</v>
      </c>
      <c r="C41" s="4" t="s">
        <v>199</v>
      </c>
      <c r="D41" s="9" t="s">
        <v>776</v>
      </c>
    </row>
    <row r="42" customFormat="false" ht="15" hidden="false" customHeight="false" outlineLevel="0" collapsed="false">
      <c r="A42" s="4" t="s">
        <v>154</v>
      </c>
      <c r="B42" s="9" t="s">
        <v>776</v>
      </c>
      <c r="C42" s="4" t="s">
        <v>200</v>
      </c>
      <c r="D42" s="9" t="s">
        <v>776</v>
      </c>
    </row>
    <row r="43" customFormat="false" ht="15" hidden="false" customHeight="false" outlineLevel="0" collapsed="false">
      <c r="A43" s="4" t="s">
        <v>156</v>
      </c>
      <c r="B43" s="9" t="s">
        <v>776</v>
      </c>
      <c r="C43" s="4" t="s">
        <v>201</v>
      </c>
      <c r="D43" s="9" t="s">
        <v>776</v>
      </c>
    </row>
    <row r="44" customFormat="false" ht="15" hidden="false" customHeight="false" outlineLevel="0" collapsed="false">
      <c r="A44" s="2" t="s">
        <v>778</v>
      </c>
    </row>
    <row r="46" customFormat="false" ht="15" hidden="false" customHeight="false" outlineLevel="0" collapsed="false">
      <c r="A46" s="6" t="s">
        <v>779</v>
      </c>
    </row>
    <row r="47" customFormat="false" ht="15" hidden="false" customHeight="false" outlineLevel="0" collapsed="false">
      <c r="A47" s="3" t="s">
        <v>780</v>
      </c>
      <c r="B47" s="3" t="s">
        <v>781</v>
      </c>
      <c r="C47" s="3" t="s">
        <v>782</v>
      </c>
    </row>
    <row r="48" customFormat="false" ht="15" hidden="false" customHeight="false" outlineLevel="0" collapsed="false">
      <c r="A48" s="4" t="s">
        <v>783</v>
      </c>
      <c r="B48" s="4" t="n">
        <v>0</v>
      </c>
      <c r="C48" s="4" t="n">
        <v>0</v>
      </c>
    </row>
    <row r="49" customFormat="false" ht="15" hidden="false" customHeight="false" outlineLevel="0" collapsed="false">
      <c r="A49" s="4" t="s">
        <v>784</v>
      </c>
      <c r="B49" s="4" t="n">
        <v>2</v>
      </c>
      <c r="C49" s="4" t="n">
        <v>3</v>
      </c>
    </row>
    <row r="50" customFormat="false" ht="15" hidden="false" customHeight="false" outlineLevel="0" collapsed="false">
      <c r="A50" s="4" t="s">
        <v>785</v>
      </c>
      <c r="B50" s="4" t="n">
        <v>6</v>
      </c>
      <c r="C50" s="4" t="n">
        <v>8</v>
      </c>
    </row>
    <row r="51" customFormat="false" ht="15" hidden="false" customHeight="false" outlineLevel="0" collapsed="false">
      <c r="A51" s="4" t="s">
        <v>786</v>
      </c>
      <c r="B51" s="4" t="n">
        <v>0</v>
      </c>
      <c r="C51" s="4" t="n">
        <v>7</v>
      </c>
    </row>
    <row r="52" customFormat="false" ht="15" hidden="false" customHeight="false" outlineLevel="0" collapsed="false">
      <c r="A52" s="4" t="s">
        <v>787</v>
      </c>
      <c r="B52" s="4" t="n">
        <v>0</v>
      </c>
      <c r="C52" s="4" t="n">
        <v>0</v>
      </c>
    </row>
    <row r="53" customFormat="false" ht="15" hidden="false" customHeight="false" outlineLevel="0" collapsed="false">
      <c r="A53" s="4" t="s">
        <v>788</v>
      </c>
      <c r="B53" s="4" t="n">
        <v>4</v>
      </c>
      <c r="C53" s="4" t="n">
        <v>0</v>
      </c>
    </row>
    <row r="54" customFormat="false" ht="15" hidden="false" customHeight="false" outlineLevel="0" collapsed="false">
      <c r="A54" s="4" t="s">
        <v>789</v>
      </c>
      <c r="B54" s="4" t="n">
        <v>2</v>
      </c>
      <c r="C54" s="4" t="n">
        <v>0</v>
      </c>
    </row>
    <row r="55" customFormat="false" ht="15" hidden="false" customHeight="false" outlineLevel="0" collapsed="false">
      <c r="A55" s="4" t="s">
        <v>790</v>
      </c>
      <c r="B55" s="4" t="n">
        <v>0</v>
      </c>
      <c r="C55" s="4" t="n">
        <v>10</v>
      </c>
    </row>
    <row r="56" customFormat="false" ht="15" hidden="false" customHeight="false" outlineLevel="0" collapsed="false">
      <c r="A56" s="4" t="s">
        <v>791</v>
      </c>
      <c r="B56" s="4" t="n">
        <v>6</v>
      </c>
      <c r="C56" s="4" t="n">
        <v>4</v>
      </c>
    </row>
    <row r="57" customFormat="false" ht="15" hidden="false" customHeight="false" outlineLevel="0" collapsed="false">
      <c r="A57" s="4" t="s">
        <v>792</v>
      </c>
      <c r="B57" s="4" t="n">
        <v>6</v>
      </c>
      <c r="C57" s="4" t="n">
        <v>0</v>
      </c>
    </row>
    <row r="58" customFormat="false" ht="15" hidden="false" customHeight="false" outlineLevel="0" collapsed="false">
      <c r="A58" s="4" t="s">
        <v>793</v>
      </c>
      <c r="B58" s="4" t="n">
        <v>2</v>
      </c>
      <c r="C58" s="4" t="n">
        <v>0</v>
      </c>
    </row>
    <row r="59" customFormat="false" ht="15" hidden="false" customHeight="false" outlineLevel="0" collapsed="false">
      <c r="A59" s="12" t="s">
        <v>794</v>
      </c>
      <c r="B59" s="12" t="n">
        <f aca="false">SUM(B48:B58)</f>
        <v>28</v>
      </c>
      <c r="C59" s="12" t="n">
        <f aca="false">SUM(C48:C58)</f>
        <v>32</v>
      </c>
    </row>
    <row r="60" customFormat="false" ht="15" hidden="false" customHeight="false" outlineLevel="0" collapsed="false">
      <c r="A60" s="2" t="s">
        <v>795</v>
      </c>
    </row>
    <row r="62" customFormat="false" ht="15" hidden="false" customHeight="false" outlineLevel="0" collapsed="false">
      <c r="A62" s="6" t="s">
        <v>796</v>
      </c>
    </row>
    <row r="63" customFormat="false" ht="15" hidden="false" customHeight="false" outlineLevel="0" collapsed="false">
      <c r="A63" s="3" t="s">
        <v>105</v>
      </c>
      <c r="B63" s="3" t="s">
        <v>59</v>
      </c>
      <c r="C63" s="3" t="s">
        <v>73</v>
      </c>
      <c r="D63" s="3" t="s">
        <v>55</v>
      </c>
      <c r="E63" s="3" t="s">
        <v>96</v>
      </c>
      <c r="F63" s="3" t="s">
        <v>69</v>
      </c>
    </row>
    <row r="64" customFormat="false" ht="31.5" hidden="false" customHeight="true" outlineLevel="0" collapsed="false">
      <c r="A64" s="4" t="s">
        <v>797</v>
      </c>
      <c r="B64" s="30" t="s">
        <v>798</v>
      </c>
      <c r="C64" s="30" t="s">
        <v>799</v>
      </c>
      <c r="D64" s="30" t="s">
        <v>800</v>
      </c>
      <c r="E64" s="31" t="s">
        <v>801</v>
      </c>
      <c r="F64" s="31" t="s">
        <v>802</v>
      </c>
    </row>
    <row r="65" customFormat="false" ht="31.5" hidden="false" customHeight="true" outlineLevel="0" collapsed="false">
      <c r="A65" s="4" t="s">
        <v>803</v>
      </c>
      <c r="B65" s="30" t="s">
        <v>799</v>
      </c>
      <c r="C65" s="30" t="s">
        <v>800</v>
      </c>
      <c r="D65" s="31" t="s">
        <v>801</v>
      </c>
      <c r="E65" s="31" t="s">
        <v>802</v>
      </c>
      <c r="F65" s="31" t="s">
        <v>804</v>
      </c>
    </row>
    <row r="66" customFormat="false" ht="31.5" hidden="false" customHeight="true" outlineLevel="0" collapsed="false">
      <c r="A66" s="4" t="s">
        <v>805</v>
      </c>
      <c r="B66" s="30" t="s">
        <v>800</v>
      </c>
      <c r="C66" s="31" t="s">
        <v>801</v>
      </c>
      <c r="D66" s="31" t="s">
        <v>802</v>
      </c>
      <c r="E66" s="31" t="s">
        <v>804</v>
      </c>
      <c r="F66" s="30" t="s">
        <v>798</v>
      </c>
    </row>
    <row r="67" customFormat="false" ht="31.5" hidden="false" customHeight="true" outlineLevel="0" collapsed="false">
      <c r="A67" s="4" t="s">
        <v>806</v>
      </c>
      <c r="B67" s="31" t="s">
        <v>801</v>
      </c>
      <c r="C67" s="31" t="s">
        <v>802</v>
      </c>
      <c r="D67" s="31" t="s">
        <v>804</v>
      </c>
      <c r="E67" s="30" t="s">
        <v>798</v>
      </c>
      <c r="F67" s="30" t="s">
        <v>799</v>
      </c>
    </row>
    <row r="68" customFormat="false" ht="31.5" hidden="false" customHeight="true" outlineLevel="0" collapsed="false">
      <c r="A68" s="4" t="s">
        <v>807</v>
      </c>
      <c r="B68" s="31" t="s">
        <v>802</v>
      </c>
      <c r="C68" s="31" t="s">
        <v>804</v>
      </c>
      <c r="D68" s="30" t="s">
        <v>798</v>
      </c>
      <c r="E68" s="30" t="s">
        <v>799</v>
      </c>
      <c r="F68" s="30" t="s">
        <v>800</v>
      </c>
    </row>
    <row r="69" customFormat="false" ht="31.5" hidden="false" customHeight="true" outlineLevel="0" collapsed="false">
      <c r="A69" s="4" t="s">
        <v>808</v>
      </c>
      <c r="B69" s="31" t="s">
        <v>804</v>
      </c>
      <c r="C69" s="30" t="s">
        <v>798</v>
      </c>
      <c r="D69" s="30" t="s">
        <v>799</v>
      </c>
      <c r="E69" s="30" t="s">
        <v>800</v>
      </c>
      <c r="F69" s="31" t="s">
        <v>801</v>
      </c>
    </row>
    <row r="70" customFormat="false" ht="31.5" hidden="false" customHeight="true" outlineLevel="0" collapsed="false">
      <c r="A70" s="4" t="s">
        <v>809</v>
      </c>
      <c r="B70" s="30" t="s">
        <v>798</v>
      </c>
      <c r="C70" s="30" t="s">
        <v>799</v>
      </c>
      <c r="D70" s="30" t="s">
        <v>800</v>
      </c>
      <c r="E70" s="31" t="s">
        <v>801</v>
      </c>
      <c r="F70" s="31" t="s">
        <v>802</v>
      </c>
    </row>
    <row r="71" customFormat="false" ht="15" hidden="false" customHeight="false" outlineLevel="0" collapsed="false">
      <c r="A71" s="2" t="s">
        <v>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811</v>
      </c>
    </row>
    <row r="3" customFormat="false" ht="26.85" hidden="false" customHeight="false" outlineLevel="0" collapsed="false">
      <c r="A3" s="3" t="s">
        <v>812</v>
      </c>
      <c r="B3" s="3" t="s">
        <v>813</v>
      </c>
      <c r="C3" s="3" t="s">
        <v>814</v>
      </c>
      <c r="D3" s="3" t="s">
        <v>815</v>
      </c>
      <c r="E3" s="3" t="s">
        <v>816</v>
      </c>
    </row>
    <row r="4" customFormat="false" ht="15" hidden="false" customHeight="false" outlineLevel="0" collapsed="false">
      <c r="A4" s="4" t="s">
        <v>817</v>
      </c>
      <c r="B4" s="5" t="n">
        <v>2</v>
      </c>
      <c r="C4" s="5" t="n">
        <v>2</v>
      </c>
      <c r="D4" s="4" t="n">
        <f aca="false">Calendário!$B$16</f>
        <v>246</v>
      </c>
      <c r="E4" s="4" t="n">
        <f aca="false">B4*C4*D4</f>
        <v>984</v>
      </c>
    </row>
    <row r="5" customFormat="false" ht="15" hidden="false" customHeight="false" outlineLevel="0" collapsed="false">
      <c r="A5" s="4" t="s">
        <v>818</v>
      </c>
      <c r="B5" s="5" t="n">
        <v>2</v>
      </c>
      <c r="C5" s="5" t="n">
        <v>2</v>
      </c>
      <c r="D5" s="4" t="n">
        <f aca="false">Calendário!$B$16</f>
        <v>246</v>
      </c>
      <c r="E5" s="4" t="n">
        <f aca="false">B5*C5*D5</f>
        <v>984</v>
      </c>
    </row>
    <row r="6" customFormat="false" ht="15" hidden="false" customHeight="false" outlineLevel="0" collapsed="false">
      <c r="A6" s="4" t="s">
        <v>819</v>
      </c>
      <c r="B6" s="5" t="n">
        <v>2</v>
      </c>
      <c r="C6" s="5" t="n">
        <v>2</v>
      </c>
      <c r="D6" s="4" t="n">
        <f aca="false">Calendário!$B$16</f>
        <v>246</v>
      </c>
      <c r="E6" s="4" t="n">
        <f aca="false">B6*C6*D6</f>
        <v>984</v>
      </c>
    </row>
    <row r="7" customFormat="false" ht="15" hidden="false" customHeight="false" outlineLevel="0" collapsed="false">
      <c r="A7" s="4" t="s">
        <v>820</v>
      </c>
      <c r="B7" s="5" t="n">
        <v>2</v>
      </c>
      <c r="C7" s="5" t="n">
        <v>2</v>
      </c>
      <c r="D7" s="4" t="n">
        <f aca="false">Calendário!$B$16</f>
        <v>246</v>
      </c>
      <c r="E7" s="4" t="n">
        <f aca="false">B7*C7*D7</f>
        <v>984</v>
      </c>
    </row>
    <row r="8" customFormat="false" ht="15" hidden="false" customHeight="false" outlineLevel="0" collapsed="false">
      <c r="A8" s="4" t="s">
        <v>821</v>
      </c>
      <c r="B8" s="5" t="n">
        <v>2</v>
      </c>
      <c r="C8" s="5" t="n">
        <v>2</v>
      </c>
      <c r="D8" s="4" t="n">
        <f aca="false">Calendário!$B$16</f>
        <v>246</v>
      </c>
      <c r="E8" s="4" t="n">
        <f aca="false">B8*C8*D8</f>
        <v>984</v>
      </c>
    </row>
    <row r="9" customFormat="false" ht="15" hidden="false" customHeight="false" outlineLevel="0" collapsed="false">
      <c r="A9" s="4" t="s">
        <v>116</v>
      </c>
      <c r="B9" s="5" t="n">
        <v>1</v>
      </c>
      <c r="C9" s="5" t="n">
        <v>2</v>
      </c>
      <c r="D9" s="4" t="n">
        <f aca="false">Calendário!$B$16</f>
        <v>246</v>
      </c>
      <c r="E9" s="4" t="n">
        <f aca="false">B9*C9*D9</f>
        <v>492</v>
      </c>
    </row>
    <row r="10" customFormat="false" ht="15" hidden="false" customHeight="false" outlineLevel="0" collapsed="false">
      <c r="A10" s="4" t="s">
        <v>822</v>
      </c>
      <c r="B10" s="5" t="n">
        <v>1</v>
      </c>
      <c r="C10" s="5" t="n">
        <v>2</v>
      </c>
      <c r="D10" s="4" t="n">
        <f aca="false">Calendário!$B$16</f>
        <v>246</v>
      </c>
      <c r="E10" s="4" t="n">
        <f aca="false">B10*C10*D10</f>
        <v>492</v>
      </c>
    </row>
    <row r="11" customFormat="false" ht="15" hidden="false" customHeight="false" outlineLevel="0" collapsed="false">
      <c r="A11" s="4" t="s">
        <v>823</v>
      </c>
      <c r="B11" s="5" t="n">
        <v>1</v>
      </c>
      <c r="C11" s="5" t="n">
        <v>2</v>
      </c>
      <c r="D11" s="4" t="n">
        <f aca="false">Calendário!$B$16</f>
        <v>246</v>
      </c>
      <c r="E11" s="4" t="n">
        <f aca="false">B11*C11*D11</f>
        <v>492</v>
      </c>
    </row>
    <row r="12" customFormat="false" ht="15" hidden="false" customHeight="false" outlineLevel="0" collapsed="false">
      <c r="A12" s="4" t="s">
        <v>824</v>
      </c>
      <c r="B12" s="5" t="n">
        <v>1</v>
      </c>
      <c r="C12" s="5" t="n">
        <v>2</v>
      </c>
      <c r="D12" s="4" t="n">
        <f aca="false">Calendário!$B$16</f>
        <v>246</v>
      </c>
      <c r="E12" s="4" t="n">
        <f aca="false">B12*C12*D12</f>
        <v>492</v>
      </c>
    </row>
    <row r="13" customFormat="false" ht="15" hidden="false" customHeight="false" outlineLevel="0" collapsed="false">
      <c r="A13" s="4" t="s">
        <v>825</v>
      </c>
      <c r="B13" s="5" t="n">
        <v>1</v>
      </c>
      <c r="C13" s="5" t="n">
        <v>2</v>
      </c>
      <c r="D13" s="4" t="n">
        <f aca="false">Calendário!$B$16</f>
        <v>246</v>
      </c>
      <c r="E13" s="4" t="n">
        <f aca="false">B13*C13*D13</f>
        <v>492</v>
      </c>
    </row>
    <row r="14" customFormat="false" ht="15" hidden="false" customHeight="false" outlineLevel="0" collapsed="false">
      <c r="A14" s="4" t="s">
        <v>826</v>
      </c>
      <c r="B14" s="5" t="n">
        <v>1</v>
      </c>
      <c r="C14" s="5" t="n">
        <v>2</v>
      </c>
      <c r="D14" s="4" t="n">
        <f aca="false">Calendário!$B$16</f>
        <v>246</v>
      </c>
      <c r="E14" s="4" t="n">
        <f aca="false">B14*C14*D14</f>
        <v>492</v>
      </c>
    </row>
    <row r="15" customFormat="false" ht="15" hidden="false" customHeight="false" outlineLevel="0" collapsed="false">
      <c r="A15" s="4" t="s">
        <v>827</v>
      </c>
      <c r="B15" s="5" t="n">
        <v>3</v>
      </c>
      <c r="C15" s="5" t="n">
        <v>2</v>
      </c>
      <c r="D15" s="5" t="n">
        <v>12</v>
      </c>
      <c r="E15" s="4" t="n">
        <f aca="false">B15*C15*D15</f>
        <v>72</v>
      </c>
    </row>
    <row r="16" customFormat="false" ht="15" hidden="false" customHeight="false" outlineLevel="0" collapsed="false">
      <c r="A16" s="12" t="s">
        <v>828</v>
      </c>
      <c r="E16" s="12" t="n">
        <f aca="false">SUM(E4:E15)</f>
        <v>7944</v>
      </c>
    </row>
    <row r="18" customFormat="false" ht="15" hidden="false" customHeight="false" outlineLevel="0" collapsed="false">
      <c r="A18" s="2" t="s">
        <v>829</v>
      </c>
    </row>
    <row r="19" customFormat="false" ht="15" hidden="false" customHeight="false" outlineLevel="0" collapsed="false">
      <c r="A19" s="2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2026-10-21T15:15:24Z</dcterms:created>
  <dc:creator>openpyxl</dc:creator>
  <dc:description/>
  <dc:language>en-US</dc:language>
  <cp:lastModifiedBy/>
  <dcterms:modified xsi:type="dcterms:W3CDTF">2026-10-21T15:15:24Z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